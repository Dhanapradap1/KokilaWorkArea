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harts/chart6.xml" ContentType="application/vnd.openxmlformats-officedocument.drawingml.chart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omments3.xml" ContentType="application/vnd.openxmlformats-officedocument.spreadsheetml.comments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okila\"/>
    </mc:Choice>
  </mc:AlternateContent>
  <xr:revisionPtr revIDLastSave="0" documentId="8_{6888E017-B1C4-4992-8E66-03C81C6D1D60}" xr6:coauthVersionLast="47" xr6:coauthVersionMax="47" xr10:uidLastSave="{00000000-0000-0000-0000-000000000000}"/>
  <bookViews>
    <workbookView xWindow="-120" yWindow="-120" windowWidth="20730" windowHeight="11040" activeTab="7" xr2:uid="{00000000-000D-0000-FFFF-FFFF00000000}"/>
  </bookViews>
  <sheets>
    <sheet name="TOC" sheetId="3" r:id="rId1"/>
    <sheet name="T1" sheetId="4" r:id="rId2"/>
    <sheet name="T2" sheetId="5" r:id="rId3"/>
    <sheet name="T3" sheetId="6" r:id="rId4"/>
    <sheet name="T4" sheetId="7" r:id="rId5"/>
    <sheet name="T5" sheetId="9" r:id="rId6"/>
    <sheet name="01" sheetId="10" r:id="rId7"/>
    <sheet name="Sheet2" sheetId="16" r:id="rId8"/>
    <sheet name="02" sheetId="11" r:id="rId9"/>
    <sheet name="04" sheetId="12" r:id="rId10"/>
    <sheet name="19" sheetId="13" r:id="rId11"/>
    <sheet name="20" sheetId="14" r:id="rId12"/>
  </sheets>
  <definedNames>
    <definedName name="_xlnm._FilterDatabase" localSheetId="6" hidden="1">'01'!$B$5:$D$291</definedName>
    <definedName name="_xlnm._FilterDatabase" localSheetId="7" hidden="1">Sheet2!$B$1:$G$99</definedName>
    <definedName name="BandCorner" localSheetId="10">'19'!$E$6</definedName>
    <definedName name="BandCorner" localSheetId="11">'20'!$E$6</definedName>
    <definedName name="BandCorner" localSheetId="4">'T4'!$E$6</definedName>
    <definedName name="BandCorner" localSheetId="5">'T5'!$E$6</definedName>
    <definedName name="BenchmarkCorner" localSheetId="6">'01'!$G$6</definedName>
    <definedName name="BenchmarkCorner" localSheetId="8">'02'!$F$6</definedName>
    <definedName name="BenchmarkCorner" localSheetId="9">'04'!$F$6</definedName>
    <definedName name="BenchmarkCorner" localSheetId="1">'T1'!$F$6</definedName>
    <definedName name="BenchmarkCorner" localSheetId="2">'T2'!$F$6</definedName>
    <definedName name="BenchmarkCorner" localSheetId="3">'T3'!$F$6</definedName>
    <definedName name="OverallReturn" localSheetId="6">'01'!$M$21</definedName>
    <definedName name="OverallReturn" localSheetId="8">'02'!$L$21</definedName>
    <definedName name="OverallReturn" localSheetId="1">'T1'!$L$21</definedName>
    <definedName name="ScatterCorner" localSheetId="6">'01'!$C$7</definedName>
    <definedName name="ScatterCorner" localSheetId="8">'02'!$B$6</definedName>
    <definedName name="ScatterCorner" localSheetId="9">'04'!$B$6</definedName>
    <definedName name="ScatterCorner" localSheetId="10">'19'!$B$6</definedName>
    <definedName name="ScatterCorner" localSheetId="11">'20'!$B$6</definedName>
    <definedName name="ScatterCorner" localSheetId="1">'T1'!$B$6</definedName>
    <definedName name="ScatterCorner" localSheetId="2">'T2'!$B$6</definedName>
    <definedName name="ScatterCorner" localSheetId="3">'T3'!$B$6</definedName>
    <definedName name="ScatterCorner" localSheetId="4">'T4'!$B$6</definedName>
    <definedName name="ScatterCorner" localSheetId="5">'T5'!$B$6</definedName>
    <definedName name="SummaryCorner" localSheetId="6">'01'!$P$6</definedName>
    <definedName name="SummaryCorner" localSheetId="8">'02'!$O$6</definedName>
    <definedName name="SummaryCorner" localSheetId="9">'04'!$L$6</definedName>
    <definedName name="SummaryCorner" localSheetId="10">'19'!$J$6</definedName>
    <definedName name="SummaryCorner" localSheetId="11">'20'!$L$6</definedName>
    <definedName name="SummaryCorner" localSheetId="1">'T1'!$O$6</definedName>
    <definedName name="SummaryCorner" localSheetId="2">'T2'!$L$6</definedName>
    <definedName name="SummaryCorner" localSheetId="3">'T3'!$P$6</definedName>
    <definedName name="SummaryCorner" localSheetId="4">'T4'!$J$6</definedName>
    <definedName name="SummaryCorner" localSheetId="5">'T5'!$L$6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10" l="1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2" i="16"/>
  <c r="C2" i="16"/>
  <c r="B2" i="16"/>
  <c r="C3" i="16"/>
  <c r="B3" i="16"/>
  <c r="C4" i="16"/>
  <c r="B4" i="16"/>
  <c r="C5" i="16"/>
  <c r="B5" i="16"/>
  <c r="C6" i="16"/>
  <c r="B6" i="16"/>
  <c r="C7" i="16"/>
  <c r="B7" i="16"/>
  <c r="C8" i="16"/>
  <c r="B8" i="16"/>
  <c r="C9" i="16"/>
  <c r="B9" i="16"/>
  <c r="C10" i="16"/>
  <c r="B10" i="16"/>
  <c r="C11" i="16"/>
  <c r="B11" i="16"/>
  <c r="C12" i="16"/>
  <c r="B12" i="16"/>
  <c r="C13" i="16"/>
  <c r="B13" i="16"/>
  <c r="C14" i="16"/>
  <c r="B14" i="16"/>
  <c r="C15" i="16"/>
  <c r="B15" i="16"/>
  <c r="C16" i="16"/>
  <c r="B16" i="16"/>
  <c r="C17" i="16"/>
  <c r="B17" i="16"/>
  <c r="C18" i="16"/>
  <c r="B18" i="16"/>
  <c r="C19" i="16"/>
  <c r="B19" i="16"/>
  <c r="C20" i="16"/>
  <c r="B20" i="16"/>
  <c r="C21" i="16"/>
  <c r="B21" i="16"/>
  <c r="C22" i="16"/>
  <c r="B22" i="16"/>
  <c r="C23" i="16"/>
  <c r="B23" i="16"/>
  <c r="C24" i="16"/>
  <c r="B24" i="16"/>
  <c r="C25" i="16"/>
  <c r="B25" i="16"/>
  <c r="C26" i="16"/>
  <c r="B26" i="16"/>
  <c r="C27" i="16"/>
  <c r="B27" i="16"/>
  <c r="C28" i="16"/>
  <c r="B28" i="16"/>
  <c r="C29" i="16"/>
  <c r="B29" i="16"/>
  <c r="C30" i="16"/>
  <c r="B30" i="16"/>
  <c r="C31" i="16"/>
  <c r="B31" i="16"/>
  <c r="C32" i="16"/>
  <c r="B32" i="16"/>
  <c r="C33" i="16"/>
  <c r="B33" i="16"/>
  <c r="C34" i="16"/>
  <c r="B34" i="16"/>
  <c r="C35" i="16"/>
  <c r="B35" i="16"/>
  <c r="C36" i="16"/>
  <c r="B36" i="16"/>
  <c r="C37" i="16"/>
  <c r="B37" i="16"/>
  <c r="C38" i="16"/>
  <c r="B38" i="16"/>
  <c r="C40" i="16"/>
  <c r="B40" i="16"/>
  <c r="C39" i="16"/>
  <c r="B39" i="16"/>
  <c r="C41" i="16"/>
  <c r="B41" i="16"/>
  <c r="C42" i="16"/>
  <c r="B42" i="16"/>
  <c r="C43" i="16"/>
  <c r="B43" i="16"/>
  <c r="C44" i="16"/>
  <c r="B44" i="16"/>
  <c r="C45" i="16"/>
  <c r="B45" i="16"/>
  <c r="C46" i="16"/>
  <c r="B46" i="16"/>
  <c r="C47" i="16"/>
  <c r="B47" i="16"/>
  <c r="C48" i="16"/>
  <c r="B48" i="16"/>
  <c r="C49" i="16"/>
  <c r="B49" i="16"/>
  <c r="C50" i="16"/>
  <c r="B50" i="16"/>
  <c r="C51" i="16"/>
  <c r="B51" i="16"/>
  <c r="C52" i="16"/>
  <c r="B52" i="16"/>
  <c r="C53" i="16"/>
  <c r="B53" i="16"/>
  <c r="C54" i="16"/>
  <c r="B54" i="16"/>
  <c r="C55" i="16"/>
  <c r="B55" i="16"/>
  <c r="C56" i="16"/>
  <c r="B56" i="16"/>
  <c r="C57" i="16"/>
  <c r="B57" i="16"/>
  <c r="C58" i="16"/>
  <c r="B58" i="16"/>
  <c r="C59" i="16"/>
  <c r="B59" i="16"/>
  <c r="C60" i="16"/>
  <c r="B60" i="16"/>
  <c r="C61" i="16"/>
  <c r="B61" i="16"/>
  <c r="C62" i="16"/>
  <c r="B62" i="16"/>
  <c r="C63" i="16"/>
  <c r="B63" i="16"/>
  <c r="C64" i="16"/>
  <c r="B64" i="16"/>
  <c r="C65" i="16"/>
  <c r="B65" i="16"/>
  <c r="C66" i="16"/>
  <c r="B66" i="16"/>
  <c r="C67" i="16"/>
  <c r="B67" i="16"/>
  <c r="C68" i="16"/>
  <c r="B68" i="16"/>
  <c r="C69" i="16"/>
  <c r="B69" i="16"/>
  <c r="C70" i="16"/>
  <c r="B70" i="16"/>
  <c r="C71" i="16"/>
  <c r="B71" i="16"/>
  <c r="C72" i="16"/>
  <c r="B72" i="16"/>
  <c r="C73" i="16"/>
  <c r="B73" i="16"/>
  <c r="C75" i="16"/>
  <c r="B75" i="16"/>
  <c r="C74" i="16"/>
  <c r="B74" i="16"/>
  <c r="C76" i="16"/>
  <c r="B76" i="16"/>
  <c r="C77" i="16"/>
  <c r="B77" i="16"/>
  <c r="C78" i="16"/>
  <c r="B78" i="16"/>
  <c r="C79" i="16"/>
  <c r="B79" i="16"/>
  <c r="C80" i="16"/>
  <c r="B80" i="16"/>
  <c r="C81" i="16"/>
  <c r="B81" i="16"/>
  <c r="C82" i="16"/>
  <c r="B82" i="16"/>
  <c r="C83" i="16"/>
  <c r="B83" i="16"/>
  <c r="C84" i="16"/>
  <c r="B84" i="16"/>
  <c r="C85" i="16"/>
  <c r="B85" i="16"/>
  <c r="C86" i="16"/>
  <c r="B86" i="16"/>
  <c r="C87" i="16"/>
  <c r="B87" i="16"/>
  <c r="C88" i="16"/>
  <c r="B88" i="16"/>
  <c r="C89" i="16"/>
  <c r="B89" i="16"/>
  <c r="C90" i="16"/>
  <c r="B90" i="16"/>
  <c r="C91" i="16"/>
  <c r="B91" i="16"/>
  <c r="C92" i="16"/>
  <c r="B92" i="16"/>
  <c r="C93" i="16"/>
  <c r="B93" i="16"/>
  <c r="C94" i="16"/>
  <c r="B94" i="16"/>
  <c r="C95" i="16"/>
  <c r="B95" i="16"/>
  <c r="C96" i="16"/>
  <c r="B96" i="16"/>
  <c r="C97" i="16"/>
  <c r="B97" i="16"/>
  <c r="C98" i="16"/>
  <c r="B98" i="16"/>
  <c r="C99" i="16"/>
  <c r="B99" i="16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6" i="10"/>
  <c r="F6" i="10" l="1"/>
  <c r="M6" i="10"/>
  <c r="F7" i="10"/>
  <c r="M7" i="10"/>
  <c r="F8" i="10"/>
  <c r="M8" i="10"/>
  <c r="F9" i="10"/>
  <c r="M9" i="10"/>
  <c r="F10" i="10"/>
  <c r="M10" i="10"/>
  <c r="F11" i="10"/>
  <c r="F12" i="10"/>
  <c r="F13" i="10"/>
  <c r="F14" i="10"/>
  <c r="F15" i="10"/>
  <c r="F16" i="10"/>
  <c r="F17" i="10"/>
  <c r="F18" i="10"/>
  <c r="F19" i="10"/>
  <c r="F20" i="10"/>
  <c r="F21" i="10"/>
  <c r="N15" i="11"/>
  <c r="I66" i="14"/>
  <c r="H66" i="14"/>
  <c r="I65" i="14"/>
  <c r="H65" i="14"/>
  <c r="I64" i="14"/>
  <c r="H64" i="14"/>
  <c r="I63" i="14"/>
  <c r="H63" i="14"/>
  <c r="I62" i="14"/>
  <c r="H62" i="14"/>
  <c r="I61" i="14"/>
  <c r="H61" i="14"/>
  <c r="I60" i="14"/>
  <c r="H60" i="14"/>
  <c r="I59" i="14"/>
  <c r="H59" i="14"/>
  <c r="I58" i="14"/>
  <c r="H58" i="14"/>
  <c r="I57" i="14"/>
  <c r="H57" i="14"/>
  <c r="I56" i="14"/>
  <c r="H56" i="14"/>
  <c r="I55" i="14"/>
  <c r="H55" i="14"/>
  <c r="I54" i="14"/>
  <c r="H54" i="14"/>
  <c r="I53" i="14"/>
  <c r="H53" i="14"/>
  <c r="I52" i="14"/>
  <c r="H52" i="14"/>
  <c r="I51" i="14"/>
  <c r="H51" i="14"/>
  <c r="I50" i="14"/>
  <c r="H50" i="14"/>
  <c r="I49" i="14"/>
  <c r="H49" i="14"/>
  <c r="I48" i="14"/>
  <c r="H48" i="14"/>
  <c r="I47" i="14"/>
  <c r="H47" i="14"/>
  <c r="I46" i="14"/>
  <c r="H46" i="14"/>
  <c r="I45" i="14"/>
  <c r="H45" i="14"/>
  <c r="I44" i="14"/>
  <c r="H44" i="14"/>
  <c r="I43" i="14"/>
  <c r="H43" i="14"/>
  <c r="I42" i="14"/>
  <c r="H42" i="14"/>
  <c r="I41" i="14"/>
  <c r="H41" i="14"/>
  <c r="I40" i="14"/>
  <c r="H40" i="14"/>
  <c r="I39" i="14"/>
  <c r="H39" i="14"/>
  <c r="I38" i="14"/>
  <c r="H38" i="14"/>
  <c r="I37" i="14"/>
  <c r="H37" i="14"/>
  <c r="I36" i="14"/>
  <c r="H36" i="14"/>
  <c r="I35" i="14"/>
  <c r="H35" i="14"/>
  <c r="I34" i="14"/>
  <c r="H34" i="14"/>
  <c r="I33" i="14"/>
  <c r="H33" i="14"/>
  <c r="I32" i="14"/>
  <c r="H32" i="14"/>
  <c r="I31" i="14"/>
  <c r="H31" i="14"/>
  <c r="I30" i="14"/>
  <c r="H30" i="14"/>
  <c r="I29" i="14"/>
  <c r="H29" i="14"/>
  <c r="I28" i="14"/>
  <c r="H28" i="14"/>
  <c r="I27" i="14"/>
  <c r="H27" i="14"/>
  <c r="I26" i="14"/>
  <c r="H26" i="14"/>
  <c r="I25" i="14"/>
  <c r="H25" i="14"/>
  <c r="I24" i="14"/>
  <c r="H24" i="14"/>
  <c r="I23" i="14"/>
  <c r="H23" i="14"/>
  <c r="I22" i="14"/>
  <c r="H22" i="14"/>
  <c r="I21" i="14"/>
  <c r="H21" i="14"/>
  <c r="I20" i="14"/>
  <c r="H20" i="14"/>
  <c r="I19" i="14"/>
  <c r="H19" i="14"/>
  <c r="I18" i="14"/>
  <c r="H18" i="14"/>
  <c r="I17" i="14"/>
  <c r="H17" i="14"/>
  <c r="I16" i="14"/>
  <c r="H16" i="14"/>
  <c r="I15" i="14"/>
  <c r="H15" i="14"/>
  <c r="I14" i="14"/>
  <c r="H14" i="14"/>
  <c r="I13" i="14"/>
  <c r="H13" i="14"/>
  <c r="I12" i="14"/>
  <c r="H12" i="14"/>
  <c r="I11" i="14"/>
  <c r="H11" i="14"/>
  <c r="I10" i="14"/>
  <c r="H10" i="14"/>
  <c r="I9" i="14"/>
  <c r="H9" i="14"/>
  <c r="I8" i="14"/>
  <c r="H8" i="14"/>
  <c r="I7" i="14"/>
  <c r="H7" i="14"/>
  <c r="I6" i="14"/>
  <c r="H6" i="14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21" i="11"/>
  <c r="E20" i="11"/>
  <c r="E19" i="11"/>
  <c r="E18" i="11"/>
  <c r="E17" i="11"/>
  <c r="E16" i="11"/>
  <c r="E15" i="11"/>
  <c r="E14" i="11"/>
  <c r="E13" i="11"/>
  <c r="E12" i="11"/>
  <c r="E11" i="11"/>
  <c r="L10" i="11"/>
  <c r="E10" i="11"/>
  <c r="L9" i="11"/>
  <c r="E9" i="11"/>
  <c r="L8" i="11"/>
  <c r="E8" i="11"/>
  <c r="L7" i="11"/>
  <c r="E7" i="11"/>
  <c r="L6" i="11"/>
  <c r="E6" i="11"/>
  <c r="H57" i="9"/>
  <c r="I57" i="9"/>
  <c r="H58" i="9"/>
  <c r="I58" i="9"/>
  <c r="H59" i="9"/>
  <c r="I59" i="9"/>
  <c r="H60" i="9"/>
  <c r="I60" i="9"/>
  <c r="H61" i="9"/>
  <c r="I61" i="9"/>
  <c r="H62" i="9"/>
  <c r="I62" i="9"/>
  <c r="H63" i="9"/>
  <c r="I63" i="9"/>
  <c r="H64" i="9"/>
  <c r="I64" i="9"/>
  <c r="H65" i="9"/>
  <c r="I65" i="9"/>
  <c r="H66" i="9"/>
  <c r="I66" i="9"/>
  <c r="H7" i="9"/>
  <c r="I7" i="9"/>
  <c r="H8" i="9"/>
  <c r="I8" i="9"/>
  <c r="H9" i="9"/>
  <c r="I9" i="9"/>
  <c r="H10" i="9"/>
  <c r="I10" i="9"/>
  <c r="H11" i="9"/>
  <c r="I11" i="9"/>
  <c r="H12" i="9"/>
  <c r="I12" i="9"/>
  <c r="H13" i="9"/>
  <c r="I13" i="9"/>
  <c r="H14" i="9"/>
  <c r="I14" i="9"/>
  <c r="H15" i="9"/>
  <c r="I15" i="9"/>
  <c r="H16" i="9"/>
  <c r="I16" i="9"/>
  <c r="H17" i="9"/>
  <c r="I17" i="9"/>
  <c r="H18" i="9"/>
  <c r="I18" i="9"/>
  <c r="H19" i="9"/>
  <c r="I19" i="9"/>
  <c r="H20" i="9"/>
  <c r="I20" i="9"/>
  <c r="H21" i="9"/>
  <c r="I21" i="9"/>
  <c r="H22" i="9"/>
  <c r="I22" i="9"/>
  <c r="H23" i="9"/>
  <c r="I23" i="9"/>
  <c r="H24" i="9"/>
  <c r="I24" i="9"/>
  <c r="H25" i="9"/>
  <c r="I25" i="9"/>
  <c r="H26" i="9"/>
  <c r="I26" i="9"/>
  <c r="H27" i="9"/>
  <c r="I27" i="9"/>
  <c r="H28" i="9"/>
  <c r="I28" i="9"/>
  <c r="H29" i="9"/>
  <c r="I29" i="9"/>
  <c r="H30" i="9"/>
  <c r="I30" i="9"/>
  <c r="H31" i="9"/>
  <c r="I31" i="9"/>
  <c r="H32" i="9"/>
  <c r="I32" i="9"/>
  <c r="H33" i="9"/>
  <c r="I33" i="9"/>
  <c r="H34" i="9"/>
  <c r="I34" i="9"/>
  <c r="H35" i="9"/>
  <c r="I35" i="9"/>
  <c r="H36" i="9"/>
  <c r="I36" i="9"/>
  <c r="H37" i="9"/>
  <c r="I37" i="9"/>
  <c r="H38" i="9"/>
  <c r="I38" i="9"/>
  <c r="H39" i="9"/>
  <c r="I39" i="9"/>
  <c r="H40" i="9"/>
  <c r="I40" i="9"/>
  <c r="H41" i="9"/>
  <c r="I41" i="9"/>
  <c r="H42" i="9"/>
  <c r="I42" i="9"/>
  <c r="H43" i="9"/>
  <c r="I43" i="9"/>
  <c r="H44" i="9"/>
  <c r="I44" i="9"/>
  <c r="H45" i="9"/>
  <c r="I45" i="9"/>
  <c r="H46" i="9"/>
  <c r="I46" i="9"/>
  <c r="H47" i="9"/>
  <c r="I47" i="9"/>
  <c r="H48" i="9"/>
  <c r="I48" i="9"/>
  <c r="H49" i="9"/>
  <c r="I49" i="9"/>
  <c r="H50" i="9"/>
  <c r="I50" i="9"/>
  <c r="H51" i="9"/>
  <c r="I51" i="9"/>
  <c r="H52" i="9"/>
  <c r="I52" i="9"/>
  <c r="H53" i="9"/>
  <c r="I53" i="9"/>
  <c r="H54" i="9"/>
  <c r="I54" i="9"/>
  <c r="H55" i="9"/>
  <c r="I55" i="9"/>
  <c r="H56" i="9"/>
  <c r="I56" i="9"/>
  <c r="I6" i="9"/>
  <c r="H6" i="9"/>
  <c r="M10" i="6" l="1"/>
  <c r="M9" i="6"/>
  <c r="M8" i="6"/>
  <c r="M7" i="6"/>
  <c r="M6" i="6"/>
  <c r="E21" i="6"/>
  <c r="E20" i="6"/>
  <c r="E19" i="6"/>
  <c r="E18" i="6"/>
  <c r="E17" i="6"/>
  <c r="E16" i="6"/>
  <c r="E15" i="6"/>
  <c r="E14" i="6"/>
  <c r="E13" i="6"/>
  <c r="E12" i="6"/>
  <c r="E11" i="6"/>
  <c r="L10" i="6"/>
  <c r="E10" i="6"/>
  <c r="L9" i="6"/>
  <c r="E9" i="6"/>
  <c r="L8" i="6"/>
  <c r="E8" i="6"/>
  <c r="L7" i="6"/>
  <c r="E7" i="6"/>
  <c r="L6" i="6"/>
  <c r="E6" i="6"/>
  <c r="E21" i="5" l="1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10" i="4" l="1"/>
  <c r="E11" i="4"/>
  <c r="E12" i="4"/>
  <c r="E13" i="4"/>
  <c r="E14" i="4"/>
  <c r="E15" i="4"/>
  <c r="E16" i="4"/>
  <c r="E17" i="4"/>
  <c r="E18" i="4"/>
  <c r="E19" i="4"/>
  <c r="E20" i="4"/>
  <c r="E21" i="4"/>
  <c r="E6" i="4"/>
  <c r="E7" i="4"/>
  <c r="E8" i="4"/>
  <c r="E9" i="4"/>
  <c r="L10" i="4" l="1"/>
  <c r="L9" i="4"/>
  <c r="L8" i="4"/>
  <c r="L7" i="4"/>
  <c r="L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Bellam, Kokila</author>
    <author>Dhanapradap M - I52373</author>
  </authors>
  <commentList>
    <comment ref="C5" authorId="0" shapeId="0" xr:uid="{7CDFC13A-4C3D-4F04-92A8-3999F8BAD9A3}">
      <text>
        <r>
          <rPr>
            <b/>
            <sz val="9"/>
            <color indexed="81"/>
            <rFont val="Tahoma"/>
            <charset val="1"/>
          </rPr>
          <t>Bellam, Kokila:</t>
        </r>
        <r>
          <rPr>
            <sz val="9"/>
            <color indexed="81"/>
            <rFont val="Tahoma"/>
            <charset val="1"/>
          </rPr>
          <t xml:space="preserve">
Age
</t>
        </r>
      </text>
    </comment>
    <comment ref="D5" authorId="0" shapeId="0" xr:uid="{91F44B69-EBF9-4B0F-AC53-1607E0477717}">
      <text>
        <r>
          <rPr>
            <b/>
            <sz val="9"/>
            <color indexed="81"/>
            <rFont val="Tahoma"/>
            <charset val="1"/>
          </rPr>
          <t>Bellam, Kokila:</t>
        </r>
        <r>
          <rPr>
            <sz val="9"/>
            <color indexed="81"/>
            <rFont val="Tahoma"/>
            <charset val="1"/>
          </rPr>
          <t xml:space="preserve">
03-Year Cumulative Return
</t>
        </r>
      </text>
    </comment>
    <comment ref="O6" authorId="1" shapeId="0" xr:uid="{DA6045D6-C6DD-4C84-9D4D-A79F649A7601}">
      <text>
        <r>
          <rPr>
            <b/>
            <sz val="9"/>
            <color indexed="81"/>
            <rFont val="Tahoma"/>
            <family val="2"/>
          </rPr>
          <t xml:space="preserve">
 = Count(Participant in Age Group) / Count(total Participant)
</t>
        </r>
      </text>
    </comment>
    <comment ref="O7" authorId="1" shapeId="0" xr:uid="{8FBDF7BF-6A8A-41A7-9469-7ED152EBB46C}">
      <text>
        <r>
          <rPr>
            <b/>
            <sz val="9"/>
            <color indexed="81"/>
            <rFont val="Tahoma"/>
            <family val="2"/>
          </rPr>
          <t>= MEDIAN(Participant in Age Group) / MEDIAN(total Participant)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Bellam, Kokila</author>
  </authors>
  <commentList>
    <comment ref="D1" authorId="0" shapeId="0" xr:uid="{965B6450-B229-4AC1-B2B8-8C2C1362D6E2}">
      <text>
        <r>
          <rPr>
            <b/>
            <sz val="9"/>
            <color indexed="81"/>
            <rFont val="Tahoma"/>
            <charset val="1"/>
          </rPr>
          <t>Bellam, Kokila:</t>
        </r>
        <r>
          <rPr>
            <sz val="9"/>
            <color indexed="81"/>
            <rFont val="Tahoma"/>
            <charset val="1"/>
          </rPr>
          <t xml:space="preserve">
Age
</t>
        </r>
      </text>
    </comment>
    <comment ref="E1" authorId="0" shapeId="0" xr:uid="{C71B7D3D-ABC7-431E-9C54-40E01A24A5A7}">
      <text>
        <r>
          <rPr>
            <b/>
            <sz val="9"/>
            <color indexed="81"/>
            <rFont val="Tahoma"/>
            <charset val="1"/>
          </rPr>
          <t>Bellam, Kokila:</t>
        </r>
        <r>
          <rPr>
            <sz val="9"/>
            <color indexed="81"/>
            <rFont val="Tahoma"/>
            <charset val="1"/>
          </rPr>
          <t xml:space="preserve">
03-Year Cumulative Return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Dhanapradap M - I52373</author>
  </authors>
  <commentList>
    <comment ref="J6" authorId="0" shapeId="0" xr:uid="{4274D1EC-6DF7-4BE8-882C-04375EE436A8}">
      <text>
        <r>
          <rPr>
            <b/>
            <sz val="9"/>
            <color indexed="81"/>
            <rFont val="Tahoma"/>
            <charset val="1"/>
          </rPr>
          <t>if (paRtn &gt;= bmRtn &amp;&amp; paRsk &lt;= bmRsk) then lessRiskMoreReturn</t>
        </r>
      </text>
    </comment>
    <comment ref="J7" authorId="0" shapeId="0" xr:uid="{92D3DC36-EE3E-44AB-9E6A-331B722FFF8F}">
      <text>
        <r>
          <rPr>
            <b/>
            <sz val="9"/>
            <color indexed="81"/>
            <rFont val="Tahoma"/>
            <charset val="1"/>
          </rPr>
          <t>if (paRtn &lt; bmRtn &amp;&amp; paRsk &lt;= bmRsk) then lessRiskLessReturn</t>
        </r>
      </text>
    </comment>
    <comment ref="J8" authorId="0" shapeId="0" xr:uid="{BB7C652C-EDE9-4A8F-8EDD-F13936B7F746}">
      <text>
        <r>
          <rPr>
            <b/>
            <sz val="9"/>
            <color indexed="81"/>
            <rFont val="Tahoma"/>
            <family val="2"/>
          </rPr>
          <t>if (paRtn &gt;= bmRtn &amp;&amp; paRsk &gt; bmRsk) then moreRiskMoreReturn</t>
        </r>
      </text>
    </comment>
    <comment ref="J9" authorId="0" shapeId="0" xr:uid="{6FD43030-A984-4604-869E-C06151EAE5B5}">
      <text>
        <r>
          <rPr>
            <b/>
            <sz val="9"/>
            <color indexed="81"/>
            <rFont val="Tahoma"/>
            <charset val="1"/>
          </rPr>
          <t>if (paRtn &lt; bmRtn &amp;&amp; paRsk &gt; bmRsk) then moreRiskLessReturn</t>
        </r>
      </text>
    </comment>
  </commentList>
</comments>
</file>

<file path=xl/sharedStrings.xml><?xml version="1.0" encoding="utf-8"?>
<sst xmlns="http://schemas.openxmlformats.org/spreadsheetml/2006/main" count="360" uniqueCount="125">
  <si>
    <t>X</t>
  </si>
  <si>
    <t>Y</t>
  </si>
  <si>
    <t>Scatter Series</t>
  </si>
  <si>
    <t>Target</t>
  </si>
  <si>
    <t>Group</t>
  </si>
  <si>
    <t>Benchmark Returns</t>
  </si>
  <si>
    <t>Median Returns</t>
  </si>
  <si>
    <t>25-34</t>
  </si>
  <si>
    <t>35-44</t>
  </si>
  <si>
    <t>45-54</t>
  </si>
  <si>
    <t>55-64</t>
  </si>
  <si>
    <t>65-74</t>
  </si>
  <si>
    <t>Scatter Plot</t>
  </si>
  <si>
    <t>Overall</t>
  </si>
  <si>
    <t>Median Return</t>
  </si>
  <si>
    <t>Below TDF</t>
  </si>
  <si>
    <t>Participants</t>
  </si>
  <si>
    <t>Metric Name</t>
  </si>
  <si>
    <t>Summary Table</t>
  </si>
  <si>
    <t>Return by Age</t>
  </si>
  <si>
    <t>Overall Return</t>
  </si>
  <si>
    <t>&lt; 25</t>
  </si>
  <si>
    <t>75+</t>
  </si>
  <si>
    <t>Label</t>
  </si>
  <si>
    <t>T1</t>
  </si>
  <si>
    <t>T2</t>
  </si>
  <si>
    <t>T3</t>
  </si>
  <si>
    <t>T4</t>
  </si>
  <si>
    <t>Template: Returns by Age</t>
  </si>
  <si>
    <t>Template: Returns by Risk</t>
  </si>
  <si>
    <t>Template: Returns by Age, Excluding Stock</t>
  </si>
  <si>
    <t>Template: Equity by Age</t>
  </si>
  <si>
    <t>Returns by Age, 01-Year</t>
  </si>
  <si>
    <t>Returns by Age, 03-Year</t>
  </si>
  <si>
    <t>Returns by Age, 05-Year</t>
  </si>
  <si>
    <t>Returns by Risk, 03-Year</t>
  </si>
  <si>
    <t>Returns by Risk, 10-Year</t>
  </si>
  <si>
    <t>Returns by Risk, 05-Year</t>
  </si>
  <si>
    <t>Returns by Age, 10-Year</t>
  </si>
  <si>
    <t>Returns by Age, Excluding Stock, 01-Year</t>
  </si>
  <si>
    <t>Returns by Age, Excluding Stock, 03-Year</t>
  </si>
  <si>
    <t>Returns by Age, Excluding Stock, 05-Year</t>
  </si>
  <si>
    <t>Returns by Age, Excluding Stock, 10-Year</t>
  </si>
  <si>
    <t>Returns by Risk, Excluding Stock, 03-Year</t>
  </si>
  <si>
    <t>Returns by Risk, Excluding Stock, 05-Year</t>
  </si>
  <si>
    <t>Returns by Risk, Excluding Stock, 10-Year</t>
  </si>
  <si>
    <t>Equity by Age</t>
  </si>
  <si>
    <t>Tab</t>
  </si>
  <si>
    <t>Contents</t>
  </si>
  <si>
    <t>Table of Contents</t>
  </si>
  <si>
    <t>Return by Risk</t>
  </si>
  <si>
    <t>Risk</t>
  </si>
  <si>
    <t>Return</t>
  </si>
  <si>
    <t>Lower</t>
  </si>
  <si>
    <t>Higher</t>
  </si>
  <si>
    <t>Return by Age, Excluding Company Stock</t>
  </si>
  <si>
    <t>Median Return, Overall</t>
  </si>
  <si>
    <t>Median Return, Ex Stock</t>
  </si>
  <si>
    <t>Y1</t>
  </si>
  <si>
    <t>Y2</t>
  </si>
  <si>
    <t>Equity Band</t>
  </si>
  <si>
    <t>Y-Min</t>
  </si>
  <si>
    <t>Y-Max</t>
  </si>
  <si>
    <t>Inside Band</t>
  </si>
  <si>
    <t>At 0% Equity</t>
  </si>
  <si>
    <t>At 100% Equity</t>
  </si>
  <si>
    <t>... In Age Range</t>
  </si>
  <si>
    <t>… Inside 10% Equity Band</t>
  </si>
  <si>
    <t>… Inside 10% to 25% Equity Band</t>
  </si>
  <si>
    <t>… Outside Equity Band</t>
  </si>
  <si>
    <t>… Invested 0% in Equities</t>
  </si>
  <si>
    <t>… Invested 100% in Equities</t>
  </si>
  <si>
    <t>Equity by Age, Concentric Bands</t>
  </si>
  <si>
    <t>Outer Min</t>
  </si>
  <si>
    <t>Inner Min</t>
  </si>
  <si>
    <t>Inner Max</t>
  </si>
  <si>
    <t>Outer Max</t>
  </si>
  <si>
    <t xml:space="preserve">if Scatter Series y below xml bechmar </t>
  </si>
  <si>
    <t>BirthYear</t>
  </si>
  <si>
    <r>
      <t xml:space="preserve">Y </t>
    </r>
    <r>
      <rPr>
        <b/>
        <sz val="11"/>
        <color rgb="FFFFFF00"/>
        <rFont val="Calibri"/>
        <family val="2"/>
        <scheme val="minor"/>
      </rPr>
      <t>cm01y</t>
    </r>
  </si>
  <si>
    <t>AgeGroup</t>
  </si>
  <si>
    <r>
      <t>Y-</t>
    </r>
    <r>
      <rPr>
        <sz val="11"/>
        <color rgb="FFFFFF00"/>
        <rFont val="Calibri"/>
        <family val="2"/>
        <scheme val="minor"/>
      </rPr>
      <t>CM10Y</t>
    </r>
  </si>
  <si>
    <r>
      <t>X-</t>
    </r>
    <r>
      <rPr>
        <sz val="11"/>
        <color rgb="FFFFFF00"/>
        <rFont val="Calibri"/>
        <family val="2"/>
        <scheme val="minor"/>
      </rPr>
      <t>RK10Y</t>
    </r>
  </si>
  <si>
    <r>
      <t>X-</t>
    </r>
    <r>
      <rPr>
        <b/>
        <sz val="11"/>
        <color theme="5" tint="0.79998168889431442"/>
        <rFont val="Calibri"/>
        <family val="2"/>
        <scheme val="minor"/>
      </rPr>
      <t>sd03y</t>
    </r>
  </si>
  <si>
    <r>
      <t>Y-</t>
    </r>
    <r>
      <rPr>
        <sz val="11"/>
        <color theme="5" tint="0.79998168889431442"/>
        <rFont val="Calibri"/>
        <family val="2"/>
        <scheme val="minor"/>
      </rPr>
      <t>an03y</t>
    </r>
  </si>
  <si>
    <t>paRtn= An03y from .zip frile</t>
  </si>
  <si>
    <t>paRsk= Sd03y  from .zip file</t>
  </si>
  <si>
    <t>bmRtn =  An03y from xml file</t>
  </si>
  <si>
    <t xml:space="preserve"> bmRsk = Sd03y from xml file</t>
  </si>
  <si>
    <t>lessRiskMoreReturn</t>
  </si>
  <si>
    <t>lessRiskLessReturn</t>
  </si>
  <si>
    <t>moreRiskMoreReturn</t>
  </si>
  <si>
    <t>moreRiskLessReturn</t>
  </si>
  <si>
    <t>if (paRtn &lt; bmRtn &amp;&amp; paRsk &lt;= bmRsk) then lessRiskLessReturn</t>
  </si>
  <si>
    <t>if (paRtn &lt; bmRtn &amp;&amp; paRsk &gt; bmRsk) then moreRiskLessReturn</t>
  </si>
  <si>
    <t>if (paRtn &gt;= bmRtn &amp;&amp; paRsk &gt; bmRsk) then moreRiskMoreReturn</t>
  </si>
  <si>
    <t>if (paRtn &gt;= bmRtn &amp;&amp; paRsk &lt;= bmRsk) then lessRiskMoreReturn</t>
  </si>
  <si>
    <t>Sheet : "01 02 03 06"</t>
  </si>
  <si>
    <t>Returns by Age</t>
  </si>
  <si>
    <t>Sheet : "04 05 07"</t>
  </si>
  <si>
    <t>Sheet : "11, 12 13 16"</t>
  </si>
  <si>
    <t>Returns Excluding Company Stock by Age</t>
  </si>
  <si>
    <t>Sheet : "14, 15 17"</t>
  </si>
  <si>
    <t>Returns Excluding Stock by Risk</t>
  </si>
  <si>
    <t>Sheet : "19"</t>
  </si>
  <si>
    <t>Percent Equity by Age (All Participants)</t>
  </si>
  <si>
    <t>Year : 1 , 3, 5,10</t>
  </si>
  <si>
    <t>Year :  3, 5,10</t>
  </si>
  <si>
    <t>Percent Equity by Age (DIY Participants)</t>
  </si>
  <si>
    <t>Sheet : "20"</t>
  </si>
  <si>
    <t>1. PLN.2509.TXT</t>
  </si>
  <si>
    <t>2. XML reading</t>
  </si>
  <si>
    <t>Each customer</t>
  </si>
  <si>
    <t>Template for reference</t>
  </si>
  <si>
    <t>3. customer file from .Zip</t>
  </si>
  <si>
    <t>Scatter Series 
From .Zip file .csv</t>
  </si>
  <si>
    <t>Benchmark Returns
From xml File</t>
  </si>
  <si>
    <r>
      <rPr>
        <u/>
        <sz val="11"/>
        <color theme="1"/>
        <rFont val="Calibri"/>
        <family val="2"/>
        <scheme val="minor"/>
      </rPr>
      <t>AGE</t>
    </r>
    <r>
      <rPr>
        <sz val="11"/>
        <color theme="1"/>
        <rFont val="Calibri"/>
        <family val="2"/>
        <scheme val="minor"/>
      </rPr>
      <t>: X</t>
    </r>
  </si>
  <si>
    <t>CM01Y: Y</t>
  </si>
  <si>
    <t>24-34</t>
  </si>
  <si>
    <t xml:space="preserve">Participants </t>
  </si>
  <si>
    <r>
      <t xml:space="preserve">X </t>
    </r>
    <r>
      <rPr>
        <b/>
        <sz val="11"/>
        <color rgb="FFFFFF00"/>
        <rFont val="Calibri"/>
        <family val="2"/>
        <scheme val="minor"/>
      </rPr>
      <t>date - ((minyear + maxyear)/2)</t>
    </r>
  </si>
  <si>
    <t>1. conceder Age Group</t>
  </si>
  <si>
    <t>2. Based on BirthYear refer BechMartk Value Y
With ScatterSerias Y value</t>
  </si>
  <si>
    <t>Bvalue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</si>
</sst>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0.0%"/>
    <numFmt numFmtId="167" formatCode="00"/>
  </numFmts>
  <fonts count="1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theme="5" tint="0.79998168889431442"/>
      <name val="Calibri"/>
      <family val="2"/>
      <scheme val="minor"/>
    </font>
    <font>
      <sz val="11"/>
      <color theme="5" tint="0.79998168889431442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2060"/>
        <bgColor indexed="64"/>
      </patternFill>
    </fill>
  </fills>
  <borders count="2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3" borderId="0" xfId="0" applyFill="1"/>
    <xf numFmtId="165" fontId="0" fillId="3" borderId="0" xfId="0" applyNumberFormat="1" applyFill="1"/>
    <xf numFmtId="165" fontId="1" fillId="3" borderId="0" xfId="0" applyNumberFormat="1" applyFont="1" applyFill="1"/>
    <xf numFmtId="165" fontId="0" fillId="2" borderId="1" xfId="0" applyNumberFormat="1" applyFill="1" applyBorder="1" applyAlignment="1">
      <alignment horizontal="center"/>
    </xf>
    <xf numFmtId="165" fontId="0" fillId="3" borderId="1" xfId="0" applyNumberFormat="1" applyFill="1" applyBorder="1"/>
    <xf numFmtId="164" fontId="0" fillId="3" borderId="0" xfId="0" applyNumberFormat="1" applyFill="1"/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3" xfId="0" applyFill="1" applyBorder="1" applyAlignment="1">
      <alignment horizontal="right"/>
    </xf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9" fontId="0" fillId="3" borderId="3" xfId="0" applyNumberFormat="1" applyFill="1" applyBorder="1"/>
    <xf numFmtId="166" fontId="0" fillId="3" borderId="3" xfId="0" applyNumberFormat="1" applyFill="1" applyBorder="1"/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0" fontId="0" fillId="3" borderId="3" xfId="0" applyNumberFormat="1" applyFill="1" applyBorder="1"/>
    <xf numFmtId="165" fontId="0" fillId="3" borderId="3" xfId="0" applyNumberFormat="1" applyFill="1" applyBorder="1"/>
    <xf numFmtId="164" fontId="0" fillId="3" borderId="3" xfId="0" applyNumberFormat="1" applyFill="1" applyBorder="1"/>
    <xf numFmtId="0" fontId="0" fillId="4" borderId="3" xfId="0" applyFill="1" applyBorder="1" applyAlignment="1">
      <alignment horizontal="center"/>
    </xf>
    <xf numFmtId="166" fontId="0" fillId="4" borderId="3" xfId="0" applyNumberFormat="1" applyFill="1" applyBorder="1"/>
    <xf numFmtId="167" fontId="0" fillId="3" borderId="0" xfId="0" applyNumberFormat="1" applyFill="1" applyAlignment="1">
      <alignment horizontal="right"/>
    </xf>
    <xf numFmtId="167" fontId="1" fillId="3" borderId="0" xfId="0" applyNumberFormat="1" applyFont="1" applyFill="1" applyAlignment="1">
      <alignment horizontal="left"/>
    </xf>
    <xf numFmtId="0" fontId="0" fillId="3" borderId="3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5" xfId="0" applyFill="1" applyBorder="1"/>
    <xf numFmtId="0" fontId="0" fillId="2" borderId="6" xfId="0" applyFill="1" applyBorder="1"/>
    <xf numFmtId="0" fontId="0" fillId="2" borderId="2" xfId="0" applyFill="1" applyBorder="1"/>
    <xf numFmtId="0" fontId="0" fillId="2" borderId="10" xfId="0" applyFill="1" applyBorder="1"/>
    <xf numFmtId="10" fontId="0" fillId="3" borderId="0" xfId="0" applyNumberFormat="1" applyFill="1"/>
    <xf numFmtId="14" fontId="0" fillId="3" borderId="0" xfId="0" applyNumberFormat="1" applyFill="1"/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167" fontId="2" fillId="3" borderId="14" xfId="0" applyNumberFormat="1" applyFont="1" applyFill="1" applyBorder="1" applyAlignment="1">
      <alignment horizontal="right"/>
    </xf>
    <xf numFmtId="0" fontId="2" fillId="3" borderId="14" xfId="0" applyFont="1" applyFill="1" applyBorder="1"/>
    <xf numFmtId="167" fontId="2" fillId="3" borderId="0" xfId="0" applyNumberFormat="1" applyFont="1" applyFill="1" applyAlignment="1">
      <alignment horizontal="right"/>
    </xf>
    <xf numFmtId="0" fontId="2" fillId="3" borderId="0" xfId="0" applyFont="1" applyFill="1"/>
    <xf numFmtId="167" fontId="2" fillId="3" borderId="2" xfId="0" applyNumberFormat="1" applyFont="1" applyFill="1" applyBorder="1" applyAlignment="1">
      <alignment horizontal="right"/>
    </xf>
    <xf numFmtId="0" fontId="2" fillId="3" borderId="2" xfId="0" applyFont="1" applyFill="1" applyBorder="1"/>
    <xf numFmtId="166" fontId="0" fillId="5" borderId="3" xfId="0" applyNumberFormat="1" applyFill="1" applyBorder="1"/>
    <xf numFmtId="9" fontId="0" fillId="6" borderId="3" xfId="0" applyNumberFormat="1" applyFill="1" applyBorder="1"/>
    <xf numFmtId="9" fontId="0" fillId="7" borderId="3" xfId="0" applyNumberFormat="1" applyFill="1" applyBorder="1"/>
    <xf numFmtId="9" fontId="0" fillId="8" borderId="3" xfId="0" applyNumberFormat="1" applyFill="1" applyBorder="1"/>
    <xf numFmtId="9" fontId="0" fillId="9" borderId="3" xfId="0" applyNumberFormat="1" applyFill="1" applyBorder="1"/>
    <xf numFmtId="9" fontId="0" fillId="10" borderId="3" xfId="0" applyNumberFormat="1" applyFill="1" applyBorder="1"/>
    <xf numFmtId="0" fontId="0" fillId="2" borderId="4" xfId="0" applyFill="1" applyBorder="1" applyAlignment="1">
      <alignment horizontal="left" vertical="center" indent="1"/>
    </xf>
    <xf numFmtId="0" fontId="0" fillId="2" borderId="5" xfId="0" applyFill="1" applyBorder="1" applyAlignment="1">
      <alignment horizontal="left" vertical="center" indent="1"/>
    </xf>
    <xf numFmtId="0" fontId="0" fillId="2" borderId="6" xfId="0" applyFill="1" applyBorder="1" applyAlignment="1">
      <alignment horizontal="left" vertical="center" indent="1"/>
    </xf>
    <xf numFmtId="0" fontId="0" fillId="2" borderId="9" xfId="0" applyFill="1" applyBorder="1" applyAlignment="1">
      <alignment horizontal="left" vertical="center" indent="1"/>
    </xf>
    <xf numFmtId="0" fontId="0" fillId="2" borderId="2" xfId="0" applyFill="1" applyBorder="1" applyAlignment="1">
      <alignment horizontal="left" vertical="center" indent="1"/>
    </xf>
    <xf numFmtId="0" fontId="0" fillId="2" borderId="10" xfId="0" applyFill="1" applyBorder="1" applyAlignment="1">
      <alignment horizontal="left" vertical="center" indent="1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3" xfId="0" applyFill="1" applyBorder="1"/>
    <xf numFmtId="165" fontId="0" fillId="12" borderId="15" xfId="0" applyNumberFormat="1" applyFill="1" applyBorder="1" applyAlignment="1">
      <alignment horizontal="center"/>
    </xf>
    <xf numFmtId="164" fontId="0" fillId="12" borderId="15" xfId="0" applyNumberFormat="1" applyFill="1" applyBorder="1" applyAlignment="1">
      <alignment horizontal="center"/>
    </xf>
    <xf numFmtId="165" fontId="0" fillId="3" borderId="15" xfId="0" applyNumberFormat="1" applyFill="1" applyBorder="1"/>
    <xf numFmtId="165" fontId="0" fillId="7" borderId="15" xfId="0" applyNumberFormat="1" applyFill="1" applyBorder="1"/>
    <xf numFmtId="164" fontId="0" fillId="3" borderId="15" xfId="0" applyNumberFormat="1" applyFill="1" applyBorder="1"/>
    <xf numFmtId="164" fontId="0" fillId="12" borderId="1" xfId="0" applyNumberFormat="1" applyFill="1" applyBorder="1" applyAlignment="1">
      <alignment horizontal="center"/>
    </xf>
    <xf numFmtId="165" fontId="0" fillId="12" borderId="1" xfId="0" applyNumberFormat="1" applyFill="1" applyBorder="1" applyAlignment="1">
      <alignment horizontal="center"/>
    </xf>
    <xf numFmtId="0" fontId="0" fillId="3" borderId="15" xfId="0" applyFill="1" applyBorder="1"/>
    <xf numFmtId="0" fontId="0" fillId="3" borderId="0" xfId="0" applyFill="1" applyBorder="1" applyAlignment="1">
      <alignment horizontal="center"/>
    </xf>
    <xf numFmtId="0" fontId="0" fillId="3" borderId="15" xfId="0" applyFill="1" applyBorder="1" applyAlignment="1">
      <alignment horizontal="left" vertical="top"/>
    </xf>
    <xf numFmtId="0" fontId="0" fillId="11" borderId="16" xfId="0" applyFill="1" applyBorder="1" applyAlignment="1">
      <alignment horizontal="left" vertical="top"/>
    </xf>
    <xf numFmtId="0" fontId="0" fillId="11" borderId="17" xfId="0" applyFill="1" applyBorder="1" applyAlignment="1">
      <alignment horizontal="left" vertical="top"/>
    </xf>
    <xf numFmtId="0" fontId="0" fillId="11" borderId="18" xfId="0" applyFill="1" applyBorder="1" applyAlignment="1">
      <alignment horizontal="left" vertical="top"/>
    </xf>
    <xf numFmtId="0" fontId="0" fillId="11" borderId="15" xfId="0" applyFill="1" applyBorder="1" applyAlignment="1">
      <alignment horizontal="left" vertical="top"/>
    </xf>
    <xf numFmtId="0" fontId="0" fillId="11" borderId="16" xfId="0" applyFill="1" applyBorder="1" applyAlignment="1">
      <alignment vertical="top"/>
    </xf>
    <xf numFmtId="0" fontId="0" fillId="11" borderId="17" xfId="0" applyFill="1" applyBorder="1" applyAlignment="1">
      <alignment vertical="top"/>
    </xf>
    <xf numFmtId="0" fontId="0" fillId="11" borderId="18" xfId="0" applyFill="1" applyBorder="1" applyAlignment="1">
      <alignment vertical="top"/>
    </xf>
    <xf numFmtId="0" fontId="0" fillId="13" borderId="15" xfId="0" applyFill="1" applyBorder="1"/>
    <xf numFmtId="0" fontId="0" fillId="8" borderId="15" xfId="0" applyFill="1" applyBorder="1"/>
    <xf numFmtId="0" fontId="0" fillId="14" borderId="15" xfId="0" applyFill="1" applyBorder="1"/>
    <xf numFmtId="0" fontId="5" fillId="15" borderId="15" xfId="0" applyFont="1" applyFill="1" applyBorder="1"/>
    <xf numFmtId="0" fontId="5" fillId="16" borderId="15" xfId="0" applyFont="1" applyFill="1" applyBorder="1"/>
    <xf numFmtId="0" fontId="5" fillId="17" borderId="15" xfId="0" applyFont="1" applyFill="1" applyBorder="1"/>
    <xf numFmtId="0" fontId="0" fillId="17" borderId="0" xfId="0" applyFill="1"/>
    <xf numFmtId="0" fontId="0" fillId="2" borderId="15" xfId="0" applyFill="1" applyBorder="1" applyAlignment="1">
      <alignment horizontal="center" vertical="top"/>
    </xf>
    <xf numFmtId="0" fontId="0" fillId="2" borderId="15" xfId="0" applyFill="1" applyBorder="1" applyAlignment="1">
      <alignment horizontal="center" vertical="top" wrapText="1"/>
    </xf>
    <xf numFmtId="0" fontId="0" fillId="2" borderId="11" xfId="0" applyFill="1" applyBorder="1" applyAlignment="1">
      <alignment horizontal="center" wrapText="1"/>
    </xf>
    <xf numFmtId="9" fontId="0" fillId="3" borderId="0" xfId="0" applyNumberFormat="1" applyFill="1"/>
    <xf numFmtId="0" fontId="0" fillId="2" borderId="3" xfId="0" applyFill="1" applyBorder="1" applyAlignment="1">
      <alignment horizontal="center" wrapText="1"/>
    </xf>
    <xf numFmtId="0" fontId="0" fillId="12" borderId="3" xfId="0" applyFill="1" applyBorder="1" applyAlignment="1">
      <alignment vertical="top" wrapText="1"/>
    </xf>
    <xf numFmtId="165" fontId="0" fillId="6" borderId="15" xfId="0" applyNumberFormat="1" applyFill="1" applyBorder="1"/>
    <xf numFmtId="165" fontId="0" fillId="8" borderId="15" xfId="0" applyNumberFormat="1" applyFill="1" applyBorder="1"/>
    <xf numFmtId="165" fontId="0" fillId="9" borderId="15" xfId="0" applyNumberFormat="1" applyFill="1" applyBorder="1"/>
    <xf numFmtId="165" fontId="0" fillId="10" borderId="15" xfId="0" applyNumberFormat="1" applyFill="1" applyBorder="1"/>
    <xf numFmtId="0" fontId="0" fillId="3" borderId="0" xfId="0" applyFill="1" applyAlignment="1">
      <alignment horizontal="left" vertical="top" wrapText="1"/>
    </xf>
    <xf numFmtId="165" fontId="0" fillId="12" borderId="19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C8A2E"/>
      <color rgb="FF0081C6"/>
      <color rgb="FFE75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951354199004695E-2"/>
          <c:y val="2.1189304461942258E-2"/>
          <c:w val="0.92951638773647915"/>
          <c:h val="0.90918689851268586"/>
        </c:manualLayout>
      </c:layout>
      <c:scatterChart>
        <c:scatterStyle val="lineMarker"/>
        <c:varyColors val="0"/>
        <c:ser>
          <c:idx val="0"/>
          <c:order val="0"/>
          <c:tx>
            <c:strRef>
              <c:f>'T1'!$B$4:$C$4</c:f>
              <c:strCache>
                <c:ptCount val="1"/>
                <c:pt idx="0">
                  <c:v>Scatter Series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4"/>
            <c:spPr>
              <a:solidFill>
                <a:schemeClr val="tx1">
                  <a:alpha val="50000"/>
                </a:schemeClr>
              </a:solidFill>
              <a:ln>
                <a:noFill/>
              </a:ln>
            </c:spPr>
          </c:marker>
          <c:xVal>
            <c:numRef>
              <c:f>'T1'!$B$6:$B$5005</c:f>
              <c:numCache>
                <c:formatCode>0.0</c:formatCode>
                <c:ptCount val="5000"/>
              </c:numCache>
            </c:numRef>
          </c:xVal>
          <c:yVal>
            <c:numRef>
              <c:f>'T1'!$C$6:$C$5005</c:f>
              <c:numCache>
                <c:formatCode>0.0000</c:formatCode>
                <c:ptCount val="50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7E-4CDD-B3AF-7E1A59542A6C}"/>
            </c:ext>
          </c:extLst>
        </c:ser>
        <c:ser>
          <c:idx val="2"/>
          <c:order val="1"/>
          <c:tx>
            <c:strRef>
              <c:f>'T1'!$J$4:$L$4</c:f>
              <c:strCache>
                <c:ptCount val="1"/>
                <c:pt idx="0">
                  <c:v>Median Returns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20"/>
            <c:spPr>
              <a:solidFill>
                <a:srgbClr val="E75300">
                  <a:alpha val="74902"/>
                </a:srgbClr>
              </a:solidFill>
              <a:ln>
                <a:solidFill>
                  <a:schemeClr val="bg1">
                    <a:alpha val="50000"/>
                  </a:schemeClr>
                </a:solidFill>
              </a:ln>
            </c:spPr>
          </c:marker>
          <c:xVal>
            <c:numRef>
              <c:f>'T1'!$K$6:$K$10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'T1'!$L$6:$L$10</c:f>
              <c:numCache>
                <c:formatCode>0.0%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7E-4CDD-B3AF-7E1A59542A6C}"/>
            </c:ext>
          </c:extLst>
        </c:ser>
        <c:ser>
          <c:idx val="1"/>
          <c:order val="2"/>
          <c:tx>
            <c:strRef>
              <c:f>'T1'!$E$4:$H$4</c:f>
              <c:strCache>
                <c:ptCount val="1"/>
                <c:pt idx="0">
                  <c:v>Benchmark Returns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24"/>
            <c:spPr>
              <a:solidFill>
                <a:srgbClr val="3C8A2E">
                  <a:alpha val="75000"/>
                </a:srgbClr>
              </a:solidFill>
              <a:ln>
                <a:solidFill>
                  <a:schemeClr val="bg1">
                    <a:alpha val="50000"/>
                  </a:schemeClr>
                </a:solidFill>
              </a:ln>
            </c:spPr>
          </c:marker>
          <c:dLbls>
            <c:dLbl>
              <c:idx val="0"/>
              <c:tx>
                <c:strRef>
                  <c:f>'T1'!$E$6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{EA8E535E-0733-432C-987C-84A2648D1FDB}</c15:txfldGUID>
                      <c15:f>'T1'!$E$6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067E-4CDD-B3AF-7E1A59542A6C}"/>
                </c:ext>
              </c:extLst>
            </c:dLbl>
            <c:dLbl>
              <c:idx val="1"/>
              <c:tx>
                <c:strRef>
                  <c:f>'T1'!$E$7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{B6660A2C-8988-4649-AFA8-5A5434363C65}</c15:txfldGUID>
                      <c15:f>'T1'!$E$7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067E-4CDD-B3AF-7E1A59542A6C}"/>
                </c:ext>
              </c:extLst>
            </c:dLbl>
            <c:dLbl>
              <c:idx val="2"/>
              <c:tx>
                <c:strRef>
                  <c:f>'T1'!$E$8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{F23C9984-B147-4BBB-A60C-92A547640D31}</c15:txfldGUID>
                      <c15:f>'T1'!$E$8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067E-4CDD-B3AF-7E1A59542A6C}"/>
                </c:ext>
              </c:extLst>
            </c:dLbl>
            <c:dLbl>
              <c:idx val="3"/>
              <c:tx>
                <c:strRef>
                  <c:f>'T1'!$E$9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{A0C54C6A-811D-44EA-A5F9-746C1FF7D10E}</c15:txfldGUID>
                      <c15:f>'T1'!$E$9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067E-4CDD-B3AF-7E1A59542A6C}"/>
                </c:ext>
              </c:extLst>
            </c:dLbl>
            <c:dLbl>
              <c:idx val="4"/>
              <c:tx>
                <c:strRef>
                  <c:f>'T1'!$E$10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{92C3B480-C549-4373-952C-1C370F7CD1DC}</c15:txfldGUID>
                      <c15:f>'T1'!$E$10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067E-4CDD-B3AF-7E1A59542A6C}"/>
                </c:ext>
              </c:extLst>
            </c:dLbl>
            <c:dLbl>
              <c:idx val="5"/>
              <c:tx>
                <c:strRef>
                  <c:f>'T1'!$E$11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{0616BE56-8E9D-4D3A-B882-1C2F23669E74}</c15:txfldGUID>
                      <c15:f>'T1'!$E$11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067E-4CDD-B3AF-7E1A59542A6C}"/>
                </c:ext>
              </c:extLst>
            </c:dLbl>
            <c:dLbl>
              <c:idx val="6"/>
              <c:tx>
                <c:strRef>
                  <c:f>'T1'!$E$12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{46CE3EFE-C3AF-42A1-8DAA-B932CEFB3A94}</c15:txfldGUID>
                      <c15:f>'T1'!$E$12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067E-4CDD-B3AF-7E1A59542A6C}"/>
                </c:ext>
              </c:extLst>
            </c:dLbl>
            <c:dLbl>
              <c:idx val="7"/>
              <c:tx>
                <c:strRef>
                  <c:f>'T1'!$E$13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{E0D6731F-0E9D-4CE1-B006-E507DC7ADE9D}</c15:txfldGUID>
                      <c15:f>'T1'!$E$13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067E-4CDD-B3AF-7E1A59542A6C}"/>
                </c:ext>
              </c:extLst>
            </c:dLbl>
            <c:dLbl>
              <c:idx val="8"/>
              <c:tx>
                <c:strRef>
                  <c:f>'T1'!$E$14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{D8D6EE42-F319-44EE-A1F8-60A670834F18}</c15:txfldGUID>
                      <c15:f>'T1'!$E$14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067E-4CDD-B3AF-7E1A59542A6C}"/>
                </c:ext>
              </c:extLst>
            </c:dLbl>
            <c:dLbl>
              <c:idx val="9"/>
              <c:tx>
                <c:strRef>
                  <c:f>'T1'!$E$15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{624B29FB-E39E-4FE8-BFC9-E4F239D0E7D5}</c15:txfldGUID>
                      <c15:f>'T1'!$E$15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067E-4CDD-B3AF-7E1A59542A6C}"/>
                </c:ext>
              </c:extLst>
            </c:dLbl>
            <c:dLbl>
              <c:idx val="10"/>
              <c:tx>
                <c:strRef>
                  <c:f>'T1'!$E$16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{0C59EBDA-61A7-4094-B8C3-DA31016DF4C2}</c15:txfldGUID>
                      <c15:f>'T1'!$E$16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067E-4CDD-B3AF-7E1A59542A6C}"/>
                </c:ext>
              </c:extLst>
            </c:dLbl>
            <c:dLbl>
              <c:idx val="11"/>
              <c:tx>
                <c:strRef>
                  <c:f>'T1'!$E$17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{E5ECB6E2-55D7-4D52-8A82-BF9655464742}</c15:txfldGUID>
                      <c15:f>'T1'!$E$17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067E-4CDD-B3AF-7E1A59542A6C}"/>
                </c:ext>
              </c:extLst>
            </c:dLbl>
            <c:dLbl>
              <c:idx val="12"/>
              <c:tx>
                <c:strRef>
                  <c:f>'T1'!$E$18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{E7EB410D-FF1D-4331-81A8-0241329B0EDC}</c15:txfldGUID>
                      <c15:f>'T1'!$E$18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067E-4CDD-B3AF-7E1A59542A6C}"/>
                </c:ext>
              </c:extLst>
            </c:dLbl>
            <c:dLbl>
              <c:idx val="13"/>
              <c:tx>
                <c:strRef>
                  <c:f>'T1'!$E$19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{998BC027-756D-4651-A85A-50560502A6EB}</c15:txfldGUID>
                      <c15:f>'T1'!$E$19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067E-4CDD-B3AF-7E1A59542A6C}"/>
                </c:ext>
              </c:extLst>
            </c:dLbl>
            <c:dLbl>
              <c:idx val="14"/>
              <c:tx>
                <c:strRef>
                  <c:f>'T1'!$E$20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{1C4CDA47-2ADE-4B4A-9039-3DB0B38AB22A}</c15:txfldGUID>
                      <c15:f>'T1'!$E$20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067E-4CDD-B3AF-7E1A59542A6C}"/>
                </c:ext>
              </c:extLst>
            </c:dLbl>
            <c:dLbl>
              <c:idx val="15"/>
              <c:tx>
                <c:strRef>
                  <c:f>'T1'!$E$21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{1285B4D8-F617-49C8-89EA-387A4EBD8E58}</c15:txfldGUID>
                      <c15:f>'T1'!$E$21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067E-4CDD-B3AF-7E1A59542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'T1'!$G$6:$G$21</c:f>
              <c:numCache>
                <c:formatCode>0.0</c:formatCode>
                <c:ptCount val="16"/>
              </c:numCache>
            </c:numRef>
          </c:xVal>
          <c:yVal>
            <c:numRef>
              <c:f>'T1'!$H$6:$H$21</c:f>
              <c:numCache>
                <c:formatCode>0.0000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067E-4CDD-B3AF-7E1A59542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61472"/>
        <c:axId val="119963008"/>
      </c:scatterChart>
      <c:valAx>
        <c:axId val="119961472"/>
        <c:scaling>
          <c:orientation val="minMax"/>
          <c:max val="75"/>
          <c:min val="25"/>
        </c:scaling>
        <c:delete val="0"/>
        <c:axPos val="b"/>
        <c:numFmt formatCode="0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119963008"/>
        <c:crossesAt val="-100"/>
        <c:crossBetween val="midCat"/>
        <c:majorUnit val="5"/>
      </c:valAx>
      <c:valAx>
        <c:axId val="119963008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119961472"/>
        <c:crosses val="autoZero"/>
        <c:crossBetween val="midCat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951354199004695E-2"/>
          <c:y val="2.1189304461942258E-2"/>
          <c:w val="0.92951638773647915"/>
          <c:h val="0.90918689851268586"/>
        </c:manualLayout>
      </c:layout>
      <c:scatterChart>
        <c:scatterStyle val="lineMarker"/>
        <c:varyColors val="0"/>
        <c:ser>
          <c:idx val="0"/>
          <c:order val="0"/>
          <c:tx>
            <c:strRef>
              <c:f>'T2'!$B$4:$C$4</c:f>
              <c:strCache>
                <c:ptCount val="1"/>
                <c:pt idx="0">
                  <c:v>Scatter Series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4"/>
            <c:spPr>
              <a:solidFill>
                <a:schemeClr val="tx1">
                  <a:alpha val="50000"/>
                </a:schemeClr>
              </a:solidFill>
              <a:ln>
                <a:noFill/>
              </a:ln>
            </c:spPr>
          </c:marker>
          <c:xVal>
            <c:numRef>
              <c:f>'T2'!$B$6:$B$5005</c:f>
              <c:numCache>
                <c:formatCode>0.0</c:formatCode>
                <c:ptCount val="5000"/>
              </c:numCache>
            </c:numRef>
          </c:xVal>
          <c:yVal>
            <c:numRef>
              <c:f>'T2'!$C$6:$C$5005</c:f>
              <c:numCache>
                <c:formatCode>0.0000</c:formatCode>
                <c:ptCount val="50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7F-449E-B7C7-B4EF6534A281}"/>
            </c:ext>
          </c:extLst>
        </c:ser>
        <c:ser>
          <c:idx val="1"/>
          <c:order val="1"/>
          <c:tx>
            <c:strRef>
              <c:f>'T2'!$E$4:$H$4</c:f>
              <c:strCache>
                <c:ptCount val="1"/>
                <c:pt idx="0">
                  <c:v>Benchmark Returns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9"/>
            <c:spPr>
              <a:solidFill>
                <a:srgbClr val="3C8A2E">
                  <a:alpha val="75000"/>
                </a:srgbClr>
              </a:solidFill>
              <a:ln>
                <a:solidFill>
                  <a:schemeClr val="bg1">
                    <a:alpha val="50000"/>
                  </a:schemeClr>
                </a:solidFill>
              </a:ln>
            </c:spPr>
          </c:marker>
          <c:dLbls>
            <c:dLbl>
              <c:idx val="0"/>
              <c:tx>
                <c:strRef>
                  <c:f>'T2'!$E$6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{68C9626C-CAF1-4DD3-9ED7-E8C3648F8105}</c15:txfldGUID>
                      <c15:f>'T2'!$E$6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987F-449E-B7C7-B4EF6534A281}"/>
                </c:ext>
              </c:extLst>
            </c:dLbl>
            <c:dLbl>
              <c:idx val="1"/>
              <c:tx>
                <c:strRef>
                  <c:f>'T2'!$E$7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{1A018954-CCC7-4507-9432-C546954AB977}</c15:txfldGUID>
                      <c15:f>'T2'!$E$7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987F-449E-B7C7-B4EF6534A281}"/>
                </c:ext>
              </c:extLst>
            </c:dLbl>
            <c:dLbl>
              <c:idx val="2"/>
              <c:tx>
                <c:strRef>
                  <c:f>'T2'!$E$8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{13FFD4BE-40CE-4E43-A837-EEC1F8F634A9}</c15:txfldGUID>
                      <c15:f>'T2'!$E$8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987F-449E-B7C7-B4EF6534A281}"/>
                </c:ext>
              </c:extLst>
            </c:dLbl>
            <c:dLbl>
              <c:idx val="3"/>
              <c:tx>
                <c:strRef>
                  <c:f>'T2'!$E$9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{0AD439A8-119C-4F1D-BDAD-5D1E07738498}</c15:txfldGUID>
                      <c15:f>'T2'!$E$9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987F-449E-B7C7-B4EF6534A281}"/>
                </c:ext>
              </c:extLst>
            </c:dLbl>
            <c:dLbl>
              <c:idx val="4"/>
              <c:tx>
                <c:strRef>
                  <c:f>'T2'!$E$10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{8D2D80FF-4310-4076-AD3C-F43C2500526E}</c15:txfldGUID>
                      <c15:f>'T2'!$E$10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987F-449E-B7C7-B4EF6534A281}"/>
                </c:ext>
              </c:extLst>
            </c:dLbl>
            <c:dLbl>
              <c:idx val="5"/>
              <c:tx>
                <c:strRef>
                  <c:f>'T2'!$E$11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{B8ED2748-25EC-48B0-9A35-F48CFCD30E21}</c15:txfldGUID>
                      <c15:f>'T2'!$E$11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987F-449E-B7C7-B4EF6534A281}"/>
                </c:ext>
              </c:extLst>
            </c:dLbl>
            <c:dLbl>
              <c:idx val="6"/>
              <c:tx>
                <c:strRef>
                  <c:f>'T2'!$E$12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{0F9E9B24-D610-441F-9153-49BFE32F1CB7}</c15:txfldGUID>
                      <c15:f>'T2'!$E$12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987F-449E-B7C7-B4EF6534A281}"/>
                </c:ext>
              </c:extLst>
            </c:dLbl>
            <c:dLbl>
              <c:idx val="7"/>
              <c:tx>
                <c:strRef>
                  <c:f>'T2'!$E$13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{EFA2ABA6-AC2C-4A39-BDC0-24640394A3B7}</c15:txfldGUID>
                      <c15:f>'T2'!$E$13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987F-449E-B7C7-B4EF6534A281}"/>
                </c:ext>
              </c:extLst>
            </c:dLbl>
            <c:dLbl>
              <c:idx val="8"/>
              <c:tx>
                <c:strRef>
                  <c:f>'T2'!$E$14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{E977304C-CC2A-4739-A9FF-A18043511C4D}</c15:txfldGUID>
                      <c15:f>'T2'!$E$14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987F-449E-B7C7-B4EF6534A281}"/>
                </c:ext>
              </c:extLst>
            </c:dLbl>
            <c:dLbl>
              <c:idx val="9"/>
              <c:tx>
                <c:strRef>
                  <c:f>'T2'!$E$15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{C38AD6BF-A09D-4A9B-AD9F-88A9E67DA3DD}</c15:txfldGUID>
                      <c15:f>'T2'!$E$15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987F-449E-B7C7-B4EF6534A281}"/>
                </c:ext>
              </c:extLst>
            </c:dLbl>
            <c:dLbl>
              <c:idx val="10"/>
              <c:tx>
                <c:strRef>
                  <c:f>'T2'!$E$16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{6957ACF2-27D2-42E6-B24B-1614EB41606E}</c15:txfldGUID>
                      <c15:f>'T2'!$E$16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987F-449E-B7C7-B4EF6534A281}"/>
                </c:ext>
              </c:extLst>
            </c:dLbl>
            <c:dLbl>
              <c:idx val="11"/>
              <c:tx>
                <c:strRef>
                  <c:f>'T2'!$E$17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{8A2E3537-7381-49C5-B833-ACE4EDBCBCCA}</c15:txfldGUID>
                      <c15:f>'T2'!$E$17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987F-449E-B7C7-B4EF6534A281}"/>
                </c:ext>
              </c:extLst>
            </c:dLbl>
            <c:dLbl>
              <c:idx val="12"/>
              <c:tx>
                <c:strRef>
                  <c:f>'T2'!$E$18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{AD439686-C28C-4D61-B15B-11784E53F070}</c15:txfldGUID>
                      <c15:f>'T2'!$E$18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987F-449E-B7C7-B4EF6534A281}"/>
                </c:ext>
              </c:extLst>
            </c:dLbl>
            <c:dLbl>
              <c:idx val="13"/>
              <c:tx>
                <c:strRef>
                  <c:f>'T2'!$E$19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{1ED49B35-F48B-4C39-9CB9-F6F48D8F4E4A}</c15:txfldGUID>
                      <c15:f>'T2'!$E$19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987F-449E-B7C7-B4EF6534A281}"/>
                </c:ext>
              </c:extLst>
            </c:dLbl>
            <c:dLbl>
              <c:idx val="14"/>
              <c:tx>
                <c:strRef>
                  <c:f>'T2'!$E$20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{CF2BC045-A336-45AB-8A09-73D6822D3727}</c15:txfldGUID>
                      <c15:f>'T2'!$E$20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987F-449E-B7C7-B4EF6534A281}"/>
                </c:ext>
              </c:extLst>
            </c:dLbl>
            <c:dLbl>
              <c:idx val="15"/>
              <c:tx>
                <c:strRef>
                  <c:f>'T2'!$E$21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{4E0F1406-FDE9-4D6F-9E70-51A841573990}</c15:txfldGUID>
                      <c15:f>'T2'!$E$21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987F-449E-B7C7-B4EF6534A2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'T2'!$G$6:$G$21</c:f>
              <c:numCache>
                <c:formatCode>0%</c:formatCode>
                <c:ptCount val="16"/>
              </c:numCache>
            </c:numRef>
          </c:xVal>
          <c:yVal>
            <c:numRef>
              <c:f>'T2'!$H$6:$H$21</c:f>
              <c:numCache>
                <c:formatCode>0%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87F-449E-B7C7-B4EF6534A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29984"/>
        <c:axId val="124752256"/>
      </c:scatterChart>
      <c:valAx>
        <c:axId val="124729984"/>
        <c:scaling>
          <c:orientation val="minMax"/>
          <c:min val="0"/>
        </c:scaling>
        <c:delete val="0"/>
        <c:axPos val="b"/>
        <c:numFmt formatCode="0%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124752256"/>
        <c:crossesAt val="-100"/>
        <c:crossBetween val="midCat"/>
      </c:valAx>
      <c:valAx>
        <c:axId val="12475225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124729984"/>
        <c:crosses val="autoZero"/>
        <c:crossBetween val="midCat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951354199004695E-2"/>
          <c:y val="2.1189304461942258E-2"/>
          <c:w val="0.92951638773647915"/>
          <c:h val="0.90918689851268586"/>
        </c:manualLayout>
      </c:layout>
      <c:scatterChart>
        <c:scatterStyle val="lineMarker"/>
        <c:varyColors val="0"/>
        <c:ser>
          <c:idx val="0"/>
          <c:order val="0"/>
          <c:tx>
            <c:strRef>
              <c:f>'T3'!$B$4:$C$4</c:f>
              <c:strCache>
                <c:ptCount val="1"/>
                <c:pt idx="0">
                  <c:v>Scatter Series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4"/>
            <c:spPr>
              <a:solidFill>
                <a:schemeClr val="tx1">
                  <a:alpha val="50000"/>
                </a:schemeClr>
              </a:solidFill>
              <a:ln>
                <a:noFill/>
              </a:ln>
            </c:spPr>
          </c:marker>
          <c:xVal>
            <c:numRef>
              <c:f>'T3'!$B$6:$B$5005</c:f>
              <c:numCache>
                <c:formatCode>0.0</c:formatCode>
                <c:ptCount val="5000"/>
              </c:numCache>
            </c:numRef>
          </c:xVal>
          <c:yVal>
            <c:numRef>
              <c:f>'T3'!$C$6:$C$5005</c:f>
              <c:numCache>
                <c:formatCode>0.0000</c:formatCode>
                <c:ptCount val="50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94-4735-B356-5BF051686DCC}"/>
            </c:ext>
          </c:extLst>
        </c:ser>
        <c:ser>
          <c:idx val="2"/>
          <c:order val="1"/>
          <c:tx>
            <c:strRef>
              <c:f>'T3'!$L$5</c:f>
              <c:strCache>
                <c:ptCount val="1"/>
                <c:pt idx="0">
                  <c:v>Y1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20"/>
            <c:spPr>
              <a:solidFill>
                <a:srgbClr val="E75300">
                  <a:alpha val="74902"/>
                </a:srgbClr>
              </a:solidFill>
              <a:ln>
                <a:solidFill>
                  <a:schemeClr val="bg1">
                    <a:alpha val="50000"/>
                  </a:schemeClr>
                </a:solidFill>
              </a:ln>
            </c:spPr>
          </c:marker>
          <c:xVal>
            <c:numRef>
              <c:f>'T3'!$K$6:$K$10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'T3'!$L$6:$L$10</c:f>
              <c:numCache>
                <c:formatCode>0.0%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94-4735-B356-5BF051686DCC}"/>
            </c:ext>
          </c:extLst>
        </c:ser>
        <c:ser>
          <c:idx val="3"/>
          <c:order val="2"/>
          <c:tx>
            <c:strRef>
              <c:f>'T3'!$M$5</c:f>
              <c:strCache>
                <c:ptCount val="1"/>
                <c:pt idx="0">
                  <c:v>Y2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20"/>
            <c:spPr>
              <a:solidFill>
                <a:srgbClr val="0081C6">
                  <a:alpha val="75000"/>
                </a:srgbClr>
              </a:solidFill>
              <a:ln>
                <a:solidFill>
                  <a:schemeClr val="bg1">
                    <a:alpha val="50000"/>
                  </a:schemeClr>
                </a:solidFill>
              </a:ln>
            </c:spPr>
          </c:marker>
          <c:xVal>
            <c:numRef>
              <c:f>'T3'!$K$6:$K$10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'T3'!$M$6:$M$10</c:f>
              <c:numCache>
                <c:formatCode>0.0%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94-4735-B356-5BF051686DCC}"/>
            </c:ext>
          </c:extLst>
        </c:ser>
        <c:ser>
          <c:idx val="1"/>
          <c:order val="3"/>
          <c:tx>
            <c:strRef>
              <c:f>'T3'!$E$4:$H$4</c:f>
              <c:strCache>
                <c:ptCount val="1"/>
                <c:pt idx="0">
                  <c:v>Benchmark Returns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24"/>
            <c:spPr>
              <a:solidFill>
                <a:srgbClr val="3C8A2E">
                  <a:alpha val="75000"/>
                </a:srgbClr>
              </a:solidFill>
              <a:ln>
                <a:solidFill>
                  <a:schemeClr val="bg1">
                    <a:alpha val="50000"/>
                  </a:schemeClr>
                </a:solidFill>
              </a:ln>
            </c:spPr>
          </c:marker>
          <c:dLbls>
            <c:dLbl>
              <c:idx val="0"/>
              <c:tx>
                <c:strRef>
                  <c:f>'T3'!$E$6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{429696C8-D787-45EC-978C-191847654B03}</c15:txfldGUID>
                      <c15:f>'T3'!$E$6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2794-4735-B356-5BF051686DCC}"/>
                </c:ext>
              </c:extLst>
            </c:dLbl>
            <c:dLbl>
              <c:idx val="1"/>
              <c:tx>
                <c:strRef>
                  <c:f>'T3'!$E$7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{95880961-983A-4DE9-9C81-3A295CB0D544}</c15:txfldGUID>
                      <c15:f>'T3'!$E$7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2794-4735-B356-5BF051686DCC}"/>
                </c:ext>
              </c:extLst>
            </c:dLbl>
            <c:dLbl>
              <c:idx val="2"/>
              <c:tx>
                <c:strRef>
                  <c:f>'T3'!$E$8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{16C836B4-00D7-47F5-91B9-DC009944FE76}</c15:txfldGUID>
                      <c15:f>'T3'!$E$8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2794-4735-B356-5BF051686DCC}"/>
                </c:ext>
              </c:extLst>
            </c:dLbl>
            <c:dLbl>
              <c:idx val="3"/>
              <c:tx>
                <c:strRef>
                  <c:f>'T3'!$E$9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{5B19CEC0-07F9-45B1-80A1-676868749480}</c15:txfldGUID>
                      <c15:f>'T3'!$E$9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2794-4735-B356-5BF051686DCC}"/>
                </c:ext>
              </c:extLst>
            </c:dLbl>
            <c:dLbl>
              <c:idx val="4"/>
              <c:tx>
                <c:strRef>
                  <c:f>'T3'!$E$10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{243AF124-C7BA-468F-8F65-7B570B3BF1E8}</c15:txfldGUID>
                      <c15:f>'T3'!$E$10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2794-4735-B356-5BF051686DCC}"/>
                </c:ext>
              </c:extLst>
            </c:dLbl>
            <c:dLbl>
              <c:idx val="5"/>
              <c:tx>
                <c:strRef>
                  <c:f>'T3'!$E$11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{F21E1EEA-2B28-4F76-BA83-A18AD858DA24}</c15:txfldGUID>
                      <c15:f>'T3'!$E$11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2794-4735-B356-5BF051686DCC}"/>
                </c:ext>
              </c:extLst>
            </c:dLbl>
            <c:dLbl>
              <c:idx val="6"/>
              <c:tx>
                <c:strRef>
                  <c:f>'T3'!$E$12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{2A6DD5BE-39F8-4B87-BE58-36234D9D90E9}</c15:txfldGUID>
                      <c15:f>'T3'!$E$12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2794-4735-B356-5BF051686DCC}"/>
                </c:ext>
              </c:extLst>
            </c:dLbl>
            <c:dLbl>
              <c:idx val="7"/>
              <c:tx>
                <c:strRef>
                  <c:f>'T3'!$E$13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{6BB473C8-41C0-4B9E-96F9-65CE15C9949F}</c15:txfldGUID>
                      <c15:f>'T3'!$E$13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2794-4735-B356-5BF051686DCC}"/>
                </c:ext>
              </c:extLst>
            </c:dLbl>
            <c:dLbl>
              <c:idx val="8"/>
              <c:tx>
                <c:strRef>
                  <c:f>'T3'!$E$14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{B0742685-B80D-47DE-A47B-889938642C1D}</c15:txfldGUID>
                      <c15:f>'T3'!$E$14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2794-4735-B356-5BF051686DCC}"/>
                </c:ext>
              </c:extLst>
            </c:dLbl>
            <c:dLbl>
              <c:idx val="9"/>
              <c:tx>
                <c:strRef>
                  <c:f>'T3'!$E$15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{4BC58B1D-D131-4D01-8EBE-4AC93260EB32}</c15:txfldGUID>
                      <c15:f>'T3'!$E$15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2794-4735-B356-5BF051686DCC}"/>
                </c:ext>
              </c:extLst>
            </c:dLbl>
            <c:dLbl>
              <c:idx val="10"/>
              <c:tx>
                <c:strRef>
                  <c:f>'T3'!$E$16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{CD73CA38-F9DA-4877-B337-9308004BB65B}</c15:txfldGUID>
                      <c15:f>'T3'!$E$16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2794-4735-B356-5BF051686DCC}"/>
                </c:ext>
              </c:extLst>
            </c:dLbl>
            <c:dLbl>
              <c:idx val="11"/>
              <c:tx>
                <c:strRef>
                  <c:f>'T3'!$E$17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{8BD6F70B-7A54-4945-8E1D-0B028713A8A0}</c15:txfldGUID>
                      <c15:f>'T3'!$E$17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2794-4735-B356-5BF051686DCC}"/>
                </c:ext>
              </c:extLst>
            </c:dLbl>
            <c:dLbl>
              <c:idx val="12"/>
              <c:tx>
                <c:strRef>
                  <c:f>'T3'!$E$18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{CD307A60-9BBD-4C78-A890-9B1C04273094}</c15:txfldGUID>
                      <c15:f>'T3'!$E$18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2794-4735-B356-5BF051686DCC}"/>
                </c:ext>
              </c:extLst>
            </c:dLbl>
            <c:dLbl>
              <c:idx val="13"/>
              <c:tx>
                <c:strRef>
                  <c:f>'T3'!$E$19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{9582B5C4-524A-48E3-9DB6-EEA2F1069190}</c15:txfldGUID>
                      <c15:f>'T3'!$E$19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2794-4735-B356-5BF051686DCC}"/>
                </c:ext>
              </c:extLst>
            </c:dLbl>
            <c:dLbl>
              <c:idx val="14"/>
              <c:tx>
                <c:strRef>
                  <c:f>'T3'!$E$20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{714D8732-87D6-4FEE-838F-DB6642DB5B85}</c15:txfldGUID>
                      <c15:f>'T3'!$E$20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2794-4735-B356-5BF051686DCC}"/>
                </c:ext>
              </c:extLst>
            </c:dLbl>
            <c:dLbl>
              <c:idx val="15"/>
              <c:tx>
                <c:strRef>
                  <c:f>'T3'!$E$21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{33872EDC-7095-4297-9C63-8BDECA091BAA}</c15:txfldGUID>
                      <c15:f>'T3'!$E$21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2794-4735-B356-5BF051686D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'T3'!$G$6:$G$21</c:f>
              <c:numCache>
                <c:formatCode>0.0</c:formatCode>
                <c:ptCount val="16"/>
              </c:numCache>
            </c:numRef>
          </c:xVal>
          <c:yVal>
            <c:numRef>
              <c:f>'T3'!$H$6:$H$21</c:f>
              <c:numCache>
                <c:formatCode>0.0000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794-4735-B356-5BF051686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48768"/>
        <c:axId val="124875136"/>
      </c:scatterChart>
      <c:valAx>
        <c:axId val="124848768"/>
        <c:scaling>
          <c:orientation val="minMax"/>
          <c:max val="75"/>
          <c:min val="25"/>
        </c:scaling>
        <c:delete val="0"/>
        <c:axPos val="b"/>
        <c:numFmt formatCode="0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124875136"/>
        <c:crossesAt val="-100"/>
        <c:crossBetween val="midCat"/>
        <c:majorUnit val="5"/>
      </c:valAx>
      <c:valAx>
        <c:axId val="12487513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124848768"/>
        <c:crosses val="autoZero"/>
        <c:crossBetween val="midCat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951354199004695E-2"/>
          <c:y val="2.1189304461942258E-2"/>
          <c:w val="0.92961340181939622"/>
          <c:h val="0.91985236220472444"/>
        </c:manualLayout>
      </c:layout>
      <c:areaChart>
        <c:grouping val="standard"/>
        <c:varyColors val="0"/>
        <c:ser>
          <c:idx val="2"/>
          <c:order val="1"/>
          <c:tx>
            <c:strRef>
              <c:f>'T4'!$G$5</c:f>
              <c:strCache>
                <c:ptCount val="1"/>
                <c:pt idx="0">
                  <c:v>Y-Max</c:v>
                </c:pt>
              </c:strCache>
            </c:strRef>
          </c:tx>
          <c:spPr>
            <a:solidFill>
              <a:srgbClr val="3C8A2E"/>
            </a:solidFill>
            <a:ln w="28575">
              <a:noFill/>
            </a:ln>
          </c:spPr>
          <c:cat>
            <c:numRef>
              <c:f>'T4'!$E$6:$E$66</c:f>
              <c:numCache>
                <c:formatCode>General</c:formatCode>
                <c:ptCount val="61"/>
                <c:pt idx="0">
                  <c:v>20</c:v>
                </c:pt>
              </c:numCache>
            </c:numRef>
          </c:cat>
          <c:val>
            <c:numRef>
              <c:f>'T4'!$G$6:$G$66</c:f>
              <c:numCache>
                <c:formatCode>General</c:formatCode>
                <c:ptCount val="61"/>
              </c:numCache>
            </c:numRef>
          </c:val>
          <c:extLst>
            <c:ext xmlns:c16="http://schemas.microsoft.com/office/drawing/2014/chart" uri="{C3380CC4-5D6E-409C-BE32-E72D297353CC}">
              <c16:uniqueId val="{00000000-68EA-4F9B-A58B-8C6E823B0859}"/>
            </c:ext>
          </c:extLst>
        </c:ser>
        <c:ser>
          <c:idx val="1"/>
          <c:order val="2"/>
          <c:tx>
            <c:strRef>
              <c:f>'T4'!$F$5</c:f>
              <c:strCache>
                <c:ptCount val="1"/>
                <c:pt idx="0">
                  <c:v>Y-Min</c:v>
                </c:pt>
              </c:strCache>
            </c:strRef>
          </c:tx>
          <c:spPr>
            <a:solidFill>
              <a:schemeClr val="bg1"/>
            </a:solidFill>
            <a:ln w="28575">
              <a:solidFill>
                <a:schemeClr val="bg1"/>
              </a:solidFill>
            </a:ln>
            <a:effectLst/>
          </c:spPr>
          <c:cat>
            <c:numRef>
              <c:f>'T4'!$E$6:$E$66</c:f>
              <c:numCache>
                <c:formatCode>General</c:formatCode>
                <c:ptCount val="61"/>
                <c:pt idx="0">
                  <c:v>20</c:v>
                </c:pt>
              </c:numCache>
            </c:numRef>
          </c:cat>
          <c:val>
            <c:numRef>
              <c:f>'T4'!$F$6:$F$66</c:f>
              <c:numCache>
                <c:formatCode>General</c:formatCode>
                <c:ptCount val="61"/>
              </c:numCache>
            </c:numRef>
          </c:val>
          <c:extLst>
            <c:ext xmlns:c16="http://schemas.microsoft.com/office/drawing/2014/chart" uri="{C3380CC4-5D6E-409C-BE32-E72D297353CC}">
              <c16:uniqueId val="{00000001-68EA-4F9B-A58B-8C6E823B0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69696"/>
        <c:axId val="126284160"/>
      </c:areaChart>
      <c:scatterChart>
        <c:scatterStyle val="lineMarker"/>
        <c:varyColors val="0"/>
        <c:ser>
          <c:idx val="0"/>
          <c:order val="0"/>
          <c:tx>
            <c:strRef>
              <c:f>'T4'!$B$4:$C$4</c:f>
              <c:strCache>
                <c:ptCount val="1"/>
                <c:pt idx="0">
                  <c:v>Scatter Series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4"/>
            <c:spPr>
              <a:solidFill>
                <a:schemeClr val="tx1">
                  <a:alpha val="50000"/>
                </a:schemeClr>
              </a:solidFill>
              <a:ln>
                <a:noFill/>
              </a:ln>
            </c:spPr>
          </c:marker>
          <c:xVal>
            <c:numRef>
              <c:f>'T4'!$B$6:$B$5005</c:f>
              <c:numCache>
                <c:formatCode>0.0</c:formatCode>
                <c:ptCount val="5000"/>
              </c:numCache>
            </c:numRef>
          </c:xVal>
          <c:yVal>
            <c:numRef>
              <c:f>'T4'!$C$6:$C$5005</c:f>
              <c:numCache>
                <c:formatCode>0.0000</c:formatCode>
                <c:ptCount val="50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EA-4F9B-A58B-8C6E823B0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87232"/>
        <c:axId val="126285696"/>
      </c:scatterChart>
      <c:dateAx>
        <c:axId val="126269696"/>
        <c:scaling>
          <c:orientation val="minMax"/>
          <c:max val="75"/>
          <c:min val="2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126284160"/>
        <c:crossesAt val="0"/>
        <c:auto val="0"/>
        <c:lblOffset val="100"/>
        <c:baseTimeUnit val="days"/>
        <c:majorUnit val="5"/>
      </c:dateAx>
      <c:valAx>
        <c:axId val="126284160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126269696"/>
        <c:crosses val="autoZero"/>
        <c:crossBetween val="midCat"/>
        <c:majorUnit val="0.2"/>
      </c:valAx>
      <c:valAx>
        <c:axId val="126285696"/>
        <c:scaling>
          <c:orientation val="minMax"/>
          <c:max val="1"/>
          <c:min val="0"/>
        </c:scaling>
        <c:delete val="0"/>
        <c:axPos val="r"/>
        <c:numFmt formatCode="0.0000" sourceLinked="1"/>
        <c:majorTickMark val="none"/>
        <c:minorTickMark val="none"/>
        <c:tickLblPos val="none"/>
        <c:spPr>
          <a:ln>
            <a:noFill/>
          </a:ln>
        </c:spPr>
        <c:crossAx val="126287232"/>
        <c:crosses val="max"/>
        <c:crossBetween val="midCat"/>
        <c:majorUnit val="0.2"/>
      </c:valAx>
      <c:valAx>
        <c:axId val="126287232"/>
        <c:scaling>
          <c:orientation val="minMax"/>
          <c:max val="75"/>
          <c:min val="25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>
            <a:noFill/>
          </a:ln>
        </c:spPr>
        <c:crossAx val="126285696"/>
        <c:crosses val="autoZero"/>
        <c:crossBetween val="midCat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951354199004695E-2"/>
          <c:y val="2.1189304461942258E-2"/>
          <c:w val="0.92961340181939622"/>
          <c:h val="0.91985236220472444"/>
        </c:manualLayout>
      </c:layout>
      <c:areaChart>
        <c:grouping val="standard"/>
        <c:varyColors val="0"/>
        <c:ser>
          <c:idx val="3"/>
          <c:order val="1"/>
          <c:tx>
            <c:strRef>
              <c:f>'T5'!$I$5</c:f>
              <c:strCache>
                <c:ptCount val="1"/>
                <c:pt idx="0">
                  <c:v>Outer Max</c:v>
                </c:pt>
              </c:strCache>
            </c:strRef>
          </c:tx>
          <c:spPr>
            <a:solidFill>
              <a:srgbClr val="FFCD00"/>
            </a:solidFill>
            <a:ln w="28575">
              <a:noFill/>
            </a:ln>
          </c:spPr>
          <c:cat>
            <c:numRef>
              <c:f>'T5'!$E$6:$E$66</c:f>
              <c:numCache>
                <c:formatCode>General</c:formatCode>
                <c:ptCount val="61"/>
                <c:pt idx="0">
                  <c:v>20</c:v>
                </c:pt>
              </c:numCache>
            </c:numRef>
          </c:cat>
          <c:val>
            <c:numRef>
              <c:f>'T5'!$I$6:$I$66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E4-46F4-8B53-81E5D9A3B774}"/>
            </c:ext>
          </c:extLst>
        </c:ser>
        <c:ser>
          <c:idx val="2"/>
          <c:order val="2"/>
          <c:tx>
            <c:strRef>
              <c:f>'T5'!$G$5</c:f>
              <c:strCache>
                <c:ptCount val="1"/>
                <c:pt idx="0">
                  <c:v>Inner Max</c:v>
                </c:pt>
              </c:strCache>
            </c:strRef>
          </c:tx>
          <c:spPr>
            <a:solidFill>
              <a:srgbClr val="3C8A2E"/>
            </a:solidFill>
            <a:ln w="28575">
              <a:noFill/>
            </a:ln>
          </c:spPr>
          <c:cat>
            <c:numRef>
              <c:f>'T5'!$E$6:$E$66</c:f>
              <c:numCache>
                <c:formatCode>General</c:formatCode>
                <c:ptCount val="61"/>
                <c:pt idx="0">
                  <c:v>20</c:v>
                </c:pt>
              </c:numCache>
            </c:numRef>
          </c:cat>
          <c:val>
            <c:numRef>
              <c:f>'T5'!$G$6:$G$66</c:f>
              <c:numCache>
                <c:formatCode>General</c:formatCode>
                <c:ptCount val="61"/>
              </c:numCache>
            </c:numRef>
          </c:val>
          <c:extLst>
            <c:ext xmlns:c16="http://schemas.microsoft.com/office/drawing/2014/chart" uri="{C3380CC4-5D6E-409C-BE32-E72D297353CC}">
              <c16:uniqueId val="{00000001-5FE4-46F4-8B53-81E5D9A3B774}"/>
            </c:ext>
          </c:extLst>
        </c:ser>
        <c:ser>
          <c:idx val="1"/>
          <c:order val="3"/>
          <c:tx>
            <c:strRef>
              <c:f>'T5'!$F$5</c:f>
              <c:strCache>
                <c:ptCount val="1"/>
                <c:pt idx="0">
                  <c:v>Inner Min</c:v>
                </c:pt>
              </c:strCache>
            </c:strRef>
          </c:tx>
          <c:spPr>
            <a:solidFill>
              <a:srgbClr val="FFCD00"/>
            </a:solidFill>
            <a:ln w="28575">
              <a:noFill/>
            </a:ln>
            <a:effectLst/>
          </c:spPr>
          <c:cat>
            <c:numRef>
              <c:f>'T5'!$E$6:$E$66</c:f>
              <c:numCache>
                <c:formatCode>General</c:formatCode>
                <c:ptCount val="61"/>
                <c:pt idx="0">
                  <c:v>20</c:v>
                </c:pt>
              </c:numCache>
            </c:numRef>
          </c:cat>
          <c:val>
            <c:numRef>
              <c:f>'T5'!$F$6:$F$66</c:f>
              <c:numCache>
                <c:formatCode>General</c:formatCode>
                <c:ptCount val="61"/>
              </c:numCache>
            </c:numRef>
          </c:val>
          <c:extLst>
            <c:ext xmlns:c16="http://schemas.microsoft.com/office/drawing/2014/chart" uri="{C3380CC4-5D6E-409C-BE32-E72D297353CC}">
              <c16:uniqueId val="{00000002-5FE4-46F4-8B53-81E5D9A3B774}"/>
            </c:ext>
          </c:extLst>
        </c:ser>
        <c:ser>
          <c:idx val="4"/>
          <c:order val="4"/>
          <c:tx>
            <c:strRef>
              <c:f>'T5'!$H$5</c:f>
              <c:strCache>
                <c:ptCount val="1"/>
                <c:pt idx="0">
                  <c:v>Outer Min</c:v>
                </c:pt>
              </c:strCache>
            </c:strRef>
          </c:tx>
          <c:spPr>
            <a:solidFill>
              <a:schemeClr val="bg1"/>
            </a:solidFill>
            <a:ln w="25400">
              <a:solidFill>
                <a:schemeClr val="bg1"/>
              </a:solidFill>
            </a:ln>
          </c:spPr>
          <c:val>
            <c:numRef>
              <c:f>'T5'!$H$6:$H$66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E4-46F4-8B53-81E5D9A3B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886656"/>
        <c:axId val="126888576"/>
      </c:areaChart>
      <c:scatterChart>
        <c:scatterStyle val="lineMarker"/>
        <c:varyColors val="0"/>
        <c:ser>
          <c:idx val="0"/>
          <c:order val="0"/>
          <c:tx>
            <c:strRef>
              <c:f>'T5'!$B$4</c:f>
              <c:strCache>
                <c:ptCount val="1"/>
                <c:pt idx="0">
                  <c:v>Scatter Series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4"/>
            <c:spPr>
              <a:solidFill>
                <a:schemeClr val="tx1">
                  <a:alpha val="50000"/>
                </a:schemeClr>
              </a:solidFill>
              <a:ln>
                <a:noFill/>
              </a:ln>
            </c:spPr>
          </c:marker>
          <c:xVal>
            <c:numRef>
              <c:f>'T5'!$B$6:$B$5005</c:f>
              <c:numCache>
                <c:formatCode>0.0</c:formatCode>
                <c:ptCount val="5000"/>
              </c:numCache>
            </c:numRef>
          </c:xVal>
          <c:yVal>
            <c:numRef>
              <c:f>'T5'!$C$6:$C$5005</c:f>
              <c:numCache>
                <c:formatCode>0.0000</c:formatCode>
                <c:ptCount val="50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FE4-46F4-8B53-81E5D9A3B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900096"/>
        <c:axId val="126898560"/>
      </c:scatterChart>
      <c:dateAx>
        <c:axId val="126886656"/>
        <c:scaling>
          <c:orientation val="minMax"/>
          <c:max val="75"/>
          <c:min val="25"/>
        </c:scaling>
        <c:delete val="1"/>
        <c:axPos val="b"/>
        <c:numFmt formatCode="General" sourceLinked="1"/>
        <c:majorTickMark val="out"/>
        <c:minorTickMark val="none"/>
        <c:tickLblPos val="nextTo"/>
        <c:crossAx val="126888576"/>
        <c:crossesAt val="0"/>
        <c:auto val="0"/>
        <c:lblOffset val="100"/>
        <c:baseTimeUnit val="days"/>
        <c:majorUnit val="5"/>
      </c:dateAx>
      <c:valAx>
        <c:axId val="12688857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126886656"/>
        <c:crosses val="autoZero"/>
        <c:crossBetween val="midCat"/>
        <c:majorUnit val="0.2"/>
      </c:valAx>
      <c:valAx>
        <c:axId val="126898560"/>
        <c:scaling>
          <c:orientation val="minMax"/>
          <c:max val="1"/>
          <c:min val="0"/>
        </c:scaling>
        <c:delete val="1"/>
        <c:axPos val="r"/>
        <c:numFmt formatCode="0%" sourceLinked="0"/>
        <c:majorTickMark val="out"/>
        <c:minorTickMark val="none"/>
        <c:tickLblPos val="nextTo"/>
        <c:crossAx val="126900096"/>
        <c:crosses val="max"/>
        <c:crossBetween val="midCat"/>
        <c:majorUnit val="0.2"/>
      </c:valAx>
      <c:valAx>
        <c:axId val="126900096"/>
        <c:scaling>
          <c:orientation val="minMax"/>
          <c:max val="75"/>
          <c:min val="25"/>
        </c:scaling>
        <c:delete val="0"/>
        <c:axPos val="b"/>
        <c:numFmt formatCode="0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126898560"/>
        <c:crosses val="autoZero"/>
        <c:crossBetween val="midCat"/>
        <c:majorUnit val="5"/>
      </c:valAx>
    </c:plotArea>
    <c:plotVisOnly val="0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5.3951354199004695E-2"/>
          <c:y val="2.1189304461942258E-2"/>
          <c:w val="0.92951638773647915"/>
          <c:h val="0.90918689851268586"/>
        </c:manualLayout>
      </c:layout>
      <c:scatterChart>
        <c:scatterStyle val="lineMarker"/>
        <c:varyColors val="0"/>
        <c:ser>
          <c:idx val="0"/>
          <c:order val="0"/>
          <c:tx>
            <c:strRef>
              <c:f>'01'!$C$4:$D$4</c:f>
              <c:strCache>
                <c:ptCount val="1"/>
                <c:pt idx="0">
                  <c:v>Scatter Series 
From .Zip file .csv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4"/>
            <c:spPr>
              <a:solidFill>
                <a:schemeClr val="tx1">
                  <a:alpha val="50000"/>
                </a:schemeClr>
              </a:solidFill>
              <a:ln>
                <a:noFill/>
              </a:ln>
            </c:spPr>
          </c:marker>
          <c:xVal>
            <c:numRef>
              <c:f>'01'!$C$7:$C$5005</c:f>
              <c:numCache>
                <c:formatCode>0.0</c:formatCode>
                <c:ptCount val="4999"/>
                <c:pt idx="0">
                  <c:v>30.308</c:v>
                </c:pt>
                <c:pt idx="1">
                  <c:v>30.699000000000002</c:v>
                </c:pt>
                <c:pt idx="2">
                  <c:v>31.241</c:v>
                </c:pt>
                <c:pt idx="3">
                  <c:v>31.347999999999999</c:v>
                </c:pt>
                <c:pt idx="4">
                  <c:v>31.97</c:v>
                </c:pt>
                <c:pt idx="5">
                  <c:v>32.076000000000001</c:v>
                </c:pt>
                <c:pt idx="6">
                  <c:v>32.095999999999997</c:v>
                </c:pt>
                <c:pt idx="7">
                  <c:v>32.15</c:v>
                </c:pt>
                <c:pt idx="8">
                  <c:v>32.423999999999999</c:v>
                </c:pt>
                <c:pt idx="9">
                  <c:v>32.597000000000001</c:v>
                </c:pt>
                <c:pt idx="10">
                  <c:v>32.777000000000001</c:v>
                </c:pt>
                <c:pt idx="11">
                  <c:v>32.81</c:v>
                </c:pt>
                <c:pt idx="12">
                  <c:v>32.984999999999999</c:v>
                </c:pt>
                <c:pt idx="13">
                  <c:v>33.005000000000003</c:v>
                </c:pt>
                <c:pt idx="14">
                  <c:v>33.119999999999997</c:v>
                </c:pt>
                <c:pt idx="15">
                  <c:v>33.295000000000002</c:v>
                </c:pt>
                <c:pt idx="16">
                  <c:v>33.472999999999999</c:v>
                </c:pt>
                <c:pt idx="17">
                  <c:v>33.524999999999999</c:v>
                </c:pt>
                <c:pt idx="18">
                  <c:v>33.527999999999999</c:v>
                </c:pt>
                <c:pt idx="19">
                  <c:v>33.692</c:v>
                </c:pt>
                <c:pt idx="20">
                  <c:v>34.048000000000002</c:v>
                </c:pt>
                <c:pt idx="21">
                  <c:v>34.133000000000003</c:v>
                </c:pt>
                <c:pt idx="22">
                  <c:v>34.25</c:v>
                </c:pt>
                <c:pt idx="23">
                  <c:v>34.584000000000003</c:v>
                </c:pt>
                <c:pt idx="24">
                  <c:v>34.587000000000003</c:v>
                </c:pt>
                <c:pt idx="25">
                  <c:v>34.869</c:v>
                </c:pt>
                <c:pt idx="26">
                  <c:v>34.883000000000003</c:v>
                </c:pt>
                <c:pt idx="27">
                  <c:v>34.948999999999998</c:v>
                </c:pt>
                <c:pt idx="28">
                  <c:v>34.472999999999999</c:v>
                </c:pt>
                <c:pt idx="29">
                  <c:v>35.021999999999998</c:v>
                </c:pt>
                <c:pt idx="30">
                  <c:v>35.143000000000001</c:v>
                </c:pt>
                <c:pt idx="31">
                  <c:v>35.304000000000002</c:v>
                </c:pt>
                <c:pt idx="32">
                  <c:v>35.343000000000004</c:v>
                </c:pt>
                <c:pt idx="33">
                  <c:v>35.392000000000003</c:v>
                </c:pt>
                <c:pt idx="34">
                  <c:v>35.555999999999997</c:v>
                </c:pt>
                <c:pt idx="35">
                  <c:v>35.677</c:v>
                </c:pt>
                <c:pt idx="36">
                  <c:v>35.83</c:v>
                </c:pt>
                <c:pt idx="37">
                  <c:v>36.027000000000001</c:v>
                </c:pt>
                <c:pt idx="38">
                  <c:v>36.037999999999997</c:v>
                </c:pt>
                <c:pt idx="39">
                  <c:v>36.097999999999999</c:v>
                </c:pt>
                <c:pt idx="40">
                  <c:v>36.148000000000003</c:v>
                </c:pt>
                <c:pt idx="41">
                  <c:v>36.164000000000001</c:v>
                </c:pt>
                <c:pt idx="42">
                  <c:v>36.234999999999999</c:v>
                </c:pt>
                <c:pt idx="43">
                  <c:v>36.276000000000003</c:v>
                </c:pt>
                <c:pt idx="44">
                  <c:v>36.334000000000003</c:v>
                </c:pt>
                <c:pt idx="45">
                  <c:v>36.722999999999999</c:v>
                </c:pt>
                <c:pt idx="46">
                  <c:v>36.901000000000003</c:v>
                </c:pt>
                <c:pt idx="47">
                  <c:v>37.037999999999997</c:v>
                </c:pt>
                <c:pt idx="48">
                  <c:v>37.054000000000002</c:v>
                </c:pt>
                <c:pt idx="49">
                  <c:v>37.292000000000002</c:v>
                </c:pt>
                <c:pt idx="50">
                  <c:v>37.414999999999999</c:v>
                </c:pt>
                <c:pt idx="51">
                  <c:v>37.546999999999997</c:v>
                </c:pt>
                <c:pt idx="52">
                  <c:v>37.918999999999997</c:v>
                </c:pt>
                <c:pt idx="53">
                  <c:v>37.988</c:v>
                </c:pt>
                <c:pt idx="54">
                  <c:v>37.988</c:v>
                </c:pt>
                <c:pt idx="55">
                  <c:v>38.029000000000003</c:v>
                </c:pt>
                <c:pt idx="56">
                  <c:v>38.097000000000001</c:v>
                </c:pt>
                <c:pt idx="57">
                  <c:v>38.207000000000001</c:v>
                </c:pt>
                <c:pt idx="58">
                  <c:v>38.225999999999999</c:v>
                </c:pt>
                <c:pt idx="59">
                  <c:v>38.368000000000002</c:v>
                </c:pt>
                <c:pt idx="60">
                  <c:v>38.381999999999998</c:v>
                </c:pt>
                <c:pt idx="61">
                  <c:v>38.42</c:v>
                </c:pt>
                <c:pt idx="62">
                  <c:v>38.723999999999997</c:v>
                </c:pt>
                <c:pt idx="63">
                  <c:v>38.896999999999998</c:v>
                </c:pt>
                <c:pt idx="64">
                  <c:v>39.017000000000003</c:v>
                </c:pt>
                <c:pt idx="65">
                  <c:v>39.277000000000001</c:v>
                </c:pt>
                <c:pt idx="66">
                  <c:v>39.293999999999997</c:v>
                </c:pt>
                <c:pt idx="67">
                  <c:v>39.323999999999998</c:v>
                </c:pt>
                <c:pt idx="68">
                  <c:v>39.335000000000001</c:v>
                </c:pt>
                <c:pt idx="69">
                  <c:v>39.433</c:v>
                </c:pt>
                <c:pt idx="70">
                  <c:v>39.466000000000001</c:v>
                </c:pt>
                <c:pt idx="71">
                  <c:v>39.521000000000001</c:v>
                </c:pt>
                <c:pt idx="72">
                  <c:v>39.698999999999998</c:v>
                </c:pt>
                <c:pt idx="73">
                  <c:v>39.759</c:v>
                </c:pt>
                <c:pt idx="74">
                  <c:v>39.877000000000002</c:v>
                </c:pt>
                <c:pt idx="75">
                  <c:v>39.909999999999997</c:v>
                </c:pt>
                <c:pt idx="76">
                  <c:v>40.008000000000003</c:v>
                </c:pt>
                <c:pt idx="77">
                  <c:v>40.048999999999999</c:v>
                </c:pt>
                <c:pt idx="78">
                  <c:v>40.06</c:v>
                </c:pt>
                <c:pt idx="79">
                  <c:v>40.244</c:v>
                </c:pt>
                <c:pt idx="80">
                  <c:v>40.262999999999998</c:v>
                </c:pt>
                <c:pt idx="81">
                  <c:v>40.386000000000003</c:v>
                </c:pt>
                <c:pt idx="82">
                  <c:v>40.441000000000003</c:v>
                </c:pt>
                <c:pt idx="83">
                  <c:v>40.585999999999999</c:v>
                </c:pt>
                <c:pt idx="84">
                  <c:v>40.610999999999997</c:v>
                </c:pt>
                <c:pt idx="85">
                  <c:v>40.761000000000003</c:v>
                </c:pt>
                <c:pt idx="86">
                  <c:v>41.04</c:v>
                </c:pt>
                <c:pt idx="87">
                  <c:v>41.061999999999998</c:v>
                </c:pt>
                <c:pt idx="88">
                  <c:v>41.100999999999999</c:v>
                </c:pt>
                <c:pt idx="89">
                  <c:v>41.100999999999999</c:v>
                </c:pt>
                <c:pt idx="90">
                  <c:v>41.142000000000003</c:v>
                </c:pt>
                <c:pt idx="91">
                  <c:v>41.402000000000001</c:v>
                </c:pt>
                <c:pt idx="92">
                  <c:v>41.744</c:v>
                </c:pt>
                <c:pt idx="93">
                  <c:v>42.292000000000002</c:v>
                </c:pt>
                <c:pt idx="94">
                  <c:v>42.344000000000001</c:v>
                </c:pt>
                <c:pt idx="95">
                  <c:v>42.375999999999998</c:v>
                </c:pt>
                <c:pt idx="96">
                  <c:v>42.485999999999997</c:v>
                </c:pt>
                <c:pt idx="97">
                  <c:v>42.5</c:v>
                </c:pt>
                <c:pt idx="98">
                  <c:v>42.579000000000001</c:v>
                </c:pt>
                <c:pt idx="99">
                  <c:v>42.600999999999999</c:v>
                </c:pt>
                <c:pt idx="100">
                  <c:v>42.743000000000002</c:v>
                </c:pt>
                <c:pt idx="101">
                  <c:v>42.834000000000003</c:v>
                </c:pt>
                <c:pt idx="102">
                  <c:v>42.847000000000001</c:v>
                </c:pt>
                <c:pt idx="103">
                  <c:v>42.869</c:v>
                </c:pt>
                <c:pt idx="104">
                  <c:v>43.066000000000003</c:v>
                </c:pt>
                <c:pt idx="105">
                  <c:v>43.183999999999997</c:v>
                </c:pt>
                <c:pt idx="106">
                  <c:v>43.198</c:v>
                </c:pt>
                <c:pt idx="107">
                  <c:v>43.258000000000003</c:v>
                </c:pt>
                <c:pt idx="108">
                  <c:v>43.295999999999999</c:v>
                </c:pt>
                <c:pt idx="109">
                  <c:v>43.427999999999997</c:v>
                </c:pt>
                <c:pt idx="110">
                  <c:v>43.491</c:v>
                </c:pt>
                <c:pt idx="111">
                  <c:v>43.701999999999998</c:v>
                </c:pt>
                <c:pt idx="112">
                  <c:v>43.795000000000002</c:v>
                </c:pt>
                <c:pt idx="113">
                  <c:v>43.874000000000002</c:v>
                </c:pt>
                <c:pt idx="114">
                  <c:v>43.985999999999997</c:v>
                </c:pt>
                <c:pt idx="115">
                  <c:v>44.006</c:v>
                </c:pt>
                <c:pt idx="116">
                  <c:v>44.11</c:v>
                </c:pt>
                <c:pt idx="117">
                  <c:v>44.142000000000003</c:v>
                </c:pt>
                <c:pt idx="118">
                  <c:v>44.155999999999999</c:v>
                </c:pt>
                <c:pt idx="119">
                  <c:v>44.192</c:v>
                </c:pt>
                <c:pt idx="120">
                  <c:v>44.317999999999998</c:v>
                </c:pt>
                <c:pt idx="121">
                  <c:v>44.356000000000002</c:v>
                </c:pt>
                <c:pt idx="122">
                  <c:v>44.421999999999997</c:v>
                </c:pt>
                <c:pt idx="123">
                  <c:v>44.66</c:v>
                </c:pt>
                <c:pt idx="124">
                  <c:v>44.83</c:v>
                </c:pt>
                <c:pt idx="125">
                  <c:v>44.942</c:v>
                </c:pt>
                <c:pt idx="126">
                  <c:v>44.945</c:v>
                </c:pt>
                <c:pt idx="127">
                  <c:v>45.087000000000003</c:v>
                </c:pt>
                <c:pt idx="128">
                  <c:v>45.283999999999999</c:v>
                </c:pt>
                <c:pt idx="129">
                  <c:v>45.393999999999998</c:v>
                </c:pt>
                <c:pt idx="130">
                  <c:v>45.427</c:v>
                </c:pt>
                <c:pt idx="131">
                  <c:v>45.435000000000002</c:v>
                </c:pt>
                <c:pt idx="132">
                  <c:v>45.484000000000002</c:v>
                </c:pt>
                <c:pt idx="133">
                  <c:v>45.911000000000001</c:v>
                </c:pt>
                <c:pt idx="134">
                  <c:v>46.052999999999997</c:v>
                </c:pt>
                <c:pt idx="135">
                  <c:v>46.122</c:v>
                </c:pt>
                <c:pt idx="136">
                  <c:v>46.133000000000003</c:v>
                </c:pt>
                <c:pt idx="137">
                  <c:v>46.21</c:v>
                </c:pt>
                <c:pt idx="138">
                  <c:v>46.24</c:v>
                </c:pt>
                <c:pt idx="139">
                  <c:v>46.408999999999999</c:v>
                </c:pt>
                <c:pt idx="140">
                  <c:v>46.436999999999998</c:v>
                </c:pt>
                <c:pt idx="141">
                  <c:v>46.548999999999999</c:v>
                </c:pt>
                <c:pt idx="142">
                  <c:v>46.631</c:v>
                </c:pt>
                <c:pt idx="143">
                  <c:v>46.776000000000003</c:v>
                </c:pt>
                <c:pt idx="144">
                  <c:v>46.883000000000003</c:v>
                </c:pt>
                <c:pt idx="145">
                  <c:v>46.91</c:v>
                </c:pt>
                <c:pt idx="146">
                  <c:v>46.954000000000001</c:v>
                </c:pt>
                <c:pt idx="147">
                  <c:v>46.968000000000004</c:v>
                </c:pt>
                <c:pt idx="148">
                  <c:v>47.003999999999998</c:v>
                </c:pt>
                <c:pt idx="149">
                  <c:v>47.017000000000003</c:v>
                </c:pt>
                <c:pt idx="150">
                  <c:v>47.072000000000003</c:v>
                </c:pt>
                <c:pt idx="151">
                  <c:v>47.203000000000003</c:v>
                </c:pt>
                <c:pt idx="152">
                  <c:v>47.258000000000003</c:v>
                </c:pt>
                <c:pt idx="153">
                  <c:v>47.265999999999998</c:v>
                </c:pt>
                <c:pt idx="154">
                  <c:v>47.447000000000003</c:v>
                </c:pt>
                <c:pt idx="155">
                  <c:v>47.472000000000001</c:v>
                </c:pt>
                <c:pt idx="156">
                  <c:v>47.822000000000003</c:v>
                </c:pt>
                <c:pt idx="157">
                  <c:v>47.893000000000001</c:v>
                </c:pt>
                <c:pt idx="158">
                  <c:v>47.962000000000003</c:v>
                </c:pt>
                <c:pt idx="159">
                  <c:v>48.008000000000003</c:v>
                </c:pt>
                <c:pt idx="160">
                  <c:v>48.222000000000001</c:v>
                </c:pt>
                <c:pt idx="161">
                  <c:v>48.32</c:v>
                </c:pt>
                <c:pt idx="162">
                  <c:v>48.396999999999998</c:v>
                </c:pt>
                <c:pt idx="163">
                  <c:v>48.463000000000001</c:v>
                </c:pt>
                <c:pt idx="164">
                  <c:v>48.591999999999999</c:v>
                </c:pt>
                <c:pt idx="165">
                  <c:v>48.89</c:v>
                </c:pt>
                <c:pt idx="166">
                  <c:v>48.930999999999997</c:v>
                </c:pt>
                <c:pt idx="167">
                  <c:v>48.936</c:v>
                </c:pt>
                <c:pt idx="168">
                  <c:v>49.024000000000001</c:v>
                </c:pt>
                <c:pt idx="169">
                  <c:v>49.116999999999997</c:v>
                </c:pt>
                <c:pt idx="170">
                  <c:v>49.459000000000003</c:v>
                </c:pt>
                <c:pt idx="171">
                  <c:v>49.484000000000002</c:v>
                </c:pt>
                <c:pt idx="172">
                  <c:v>49.517000000000003</c:v>
                </c:pt>
                <c:pt idx="173">
                  <c:v>49.790999999999997</c:v>
                </c:pt>
                <c:pt idx="174">
                  <c:v>49.790999999999997</c:v>
                </c:pt>
                <c:pt idx="175">
                  <c:v>49.844999999999999</c:v>
                </c:pt>
                <c:pt idx="176">
                  <c:v>49.96</c:v>
                </c:pt>
                <c:pt idx="177">
                  <c:v>50.33</c:v>
                </c:pt>
                <c:pt idx="178">
                  <c:v>50.371000000000002</c:v>
                </c:pt>
                <c:pt idx="179">
                  <c:v>50.902000000000001</c:v>
                </c:pt>
                <c:pt idx="180">
                  <c:v>50.942999999999998</c:v>
                </c:pt>
                <c:pt idx="181">
                  <c:v>51.012</c:v>
                </c:pt>
                <c:pt idx="182">
                  <c:v>51.088000000000001</c:v>
                </c:pt>
                <c:pt idx="183">
                  <c:v>51.113</c:v>
                </c:pt>
                <c:pt idx="184">
                  <c:v>51.161999999999999</c:v>
                </c:pt>
                <c:pt idx="185">
                  <c:v>51.222999999999999</c:v>
                </c:pt>
                <c:pt idx="186">
                  <c:v>51.225000000000001</c:v>
                </c:pt>
                <c:pt idx="187">
                  <c:v>51.238999999999997</c:v>
                </c:pt>
                <c:pt idx="188">
                  <c:v>51.345999999999997</c:v>
                </c:pt>
                <c:pt idx="189">
                  <c:v>51.548000000000002</c:v>
                </c:pt>
                <c:pt idx="190">
                  <c:v>51.548000000000002</c:v>
                </c:pt>
                <c:pt idx="191">
                  <c:v>51.884999999999998</c:v>
                </c:pt>
                <c:pt idx="192">
                  <c:v>52.055</c:v>
                </c:pt>
                <c:pt idx="193">
                  <c:v>52.444000000000003</c:v>
                </c:pt>
                <c:pt idx="194">
                  <c:v>52.709000000000003</c:v>
                </c:pt>
                <c:pt idx="195">
                  <c:v>52.744999999999997</c:v>
                </c:pt>
                <c:pt idx="196">
                  <c:v>53.12</c:v>
                </c:pt>
                <c:pt idx="197">
                  <c:v>53.161000000000001</c:v>
                </c:pt>
                <c:pt idx="198">
                  <c:v>53.234999999999999</c:v>
                </c:pt>
                <c:pt idx="199">
                  <c:v>53.249000000000002</c:v>
                </c:pt>
                <c:pt idx="200">
                  <c:v>53.335999999999999</c:v>
                </c:pt>
                <c:pt idx="201">
                  <c:v>53.35</c:v>
                </c:pt>
                <c:pt idx="202">
                  <c:v>53.725000000000001</c:v>
                </c:pt>
                <c:pt idx="203">
                  <c:v>53.790999999999997</c:v>
                </c:pt>
                <c:pt idx="204">
                  <c:v>53.856999999999999</c:v>
                </c:pt>
                <c:pt idx="205">
                  <c:v>54.267000000000003</c:v>
                </c:pt>
                <c:pt idx="206">
                  <c:v>54.540999999999997</c:v>
                </c:pt>
                <c:pt idx="207">
                  <c:v>54.664000000000001</c:v>
                </c:pt>
                <c:pt idx="208">
                  <c:v>54.896999999999998</c:v>
                </c:pt>
                <c:pt idx="209">
                  <c:v>54.984999999999999</c:v>
                </c:pt>
                <c:pt idx="210">
                  <c:v>55.170999999999999</c:v>
                </c:pt>
                <c:pt idx="211">
                  <c:v>55.234000000000002</c:v>
                </c:pt>
                <c:pt idx="212">
                  <c:v>55.59</c:v>
                </c:pt>
                <c:pt idx="213">
                  <c:v>56.783000000000001</c:v>
                </c:pt>
                <c:pt idx="214">
                  <c:v>56.948</c:v>
                </c:pt>
                <c:pt idx="215">
                  <c:v>57.226999999999997</c:v>
                </c:pt>
                <c:pt idx="216">
                  <c:v>57.569000000000003</c:v>
                </c:pt>
                <c:pt idx="217">
                  <c:v>57.646000000000001</c:v>
                </c:pt>
                <c:pt idx="218">
                  <c:v>57.787999999999997</c:v>
                </c:pt>
                <c:pt idx="219">
                  <c:v>57.845999999999997</c:v>
                </c:pt>
                <c:pt idx="220">
                  <c:v>57.850999999999999</c:v>
                </c:pt>
                <c:pt idx="221">
                  <c:v>58.191000000000003</c:v>
                </c:pt>
                <c:pt idx="222">
                  <c:v>58.369</c:v>
                </c:pt>
                <c:pt idx="223">
                  <c:v>58.432000000000002</c:v>
                </c:pt>
                <c:pt idx="224">
                  <c:v>59.02</c:v>
                </c:pt>
                <c:pt idx="225">
                  <c:v>59.152000000000001</c:v>
                </c:pt>
                <c:pt idx="226">
                  <c:v>59.186999999999998</c:v>
                </c:pt>
                <c:pt idx="227">
                  <c:v>59.302</c:v>
                </c:pt>
                <c:pt idx="228">
                  <c:v>59.371000000000002</c:v>
                </c:pt>
                <c:pt idx="229">
                  <c:v>59.981000000000002</c:v>
                </c:pt>
                <c:pt idx="230">
                  <c:v>60.006</c:v>
                </c:pt>
                <c:pt idx="231">
                  <c:v>60.011000000000003</c:v>
                </c:pt>
                <c:pt idx="232">
                  <c:v>60.131999999999998</c:v>
                </c:pt>
                <c:pt idx="233">
                  <c:v>60.173000000000002</c:v>
                </c:pt>
                <c:pt idx="234">
                  <c:v>60.176000000000002</c:v>
                </c:pt>
                <c:pt idx="235">
                  <c:v>60.180999999999997</c:v>
                </c:pt>
                <c:pt idx="236">
                  <c:v>60.189</c:v>
                </c:pt>
                <c:pt idx="237">
                  <c:v>60.575000000000003</c:v>
                </c:pt>
                <c:pt idx="238">
                  <c:v>60.737000000000002</c:v>
                </c:pt>
                <c:pt idx="239">
                  <c:v>60.793999999999997</c:v>
                </c:pt>
                <c:pt idx="240">
                  <c:v>60.881999999999998</c:v>
                </c:pt>
                <c:pt idx="241">
                  <c:v>61.043999999999997</c:v>
                </c:pt>
                <c:pt idx="242">
                  <c:v>61.438000000000002</c:v>
                </c:pt>
                <c:pt idx="243">
                  <c:v>61.741999999999997</c:v>
                </c:pt>
                <c:pt idx="244">
                  <c:v>61.747</c:v>
                </c:pt>
                <c:pt idx="245">
                  <c:v>62.067999999999998</c:v>
                </c:pt>
                <c:pt idx="246">
                  <c:v>62.606999999999999</c:v>
                </c:pt>
                <c:pt idx="247">
                  <c:v>62.674999999999997</c:v>
                </c:pt>
                <c:pt idx="248">
                  <c:v>62.837000000000003</c:v>
                </c:pt>
                <c:pt idx="249">
                  <c:v>62.856000000000002</c:v>
                </c:pt>
                <c:pt idx="250">
                  <c:v>63.104999999999997</c:v>
                </c:pt>
                <c:pt idx="251">
                  <c:v>63.113</c:v>
                </c:pt>
                <c:pt idx="252">
                  <c:v>63.127000000000002</c:v>
                </c:pt>
                <c:pt idx="253">
                  <c:v>63.167999999999999</c:v>
                </c:pt>
                <c:pt idx="254">
                  <c:v>63.216999999999999</c:v>
                </c:pt>
                <c:pt idx="255">
                  <c:v>63.518999999999998</c:v>
                </c:pt>
                <c:pt idx="256">
                  <c:v>63.872</c:v>
                </c:pt>
                <c:pt idx="257">
                  <c:v>64.381</c:v>
                </c:pt>
                <c:pt idx="258">
                  <c:v>64.430000000000007</c:v>
                </c:pt>
                <c:pt idx="259">
                  <c:v>64.832999999999998</c:v>
                </c:pt>
                <c:pt idx="260">
                  <c:v>65.049000000000007</c:v>
                </c:pt>
                <c:pt idx="261">
                  <c:v>65.337000000000003</c:v>
                </c:pt>
                <c:pt idx="262">
                  <c:v>65.418999999999997</c:v>
                </c:pt>
                <c:pt idx="263">
                  <c:v>65.605000000000004</c:v>
                </c:pt>
                <c:pt idx="264">
                  <c:v>65.799000000000007</c:v>
                </c:pt>
                <c:pt idx="265">
                  <c:v>65.887</c:v>
                </c:pt>
                <c:pt idx="266">
                  <c:v>65.938999999999993</c:v>
                </c:pt>
                <c:pt idx="267">
                  <c:v>66.188000000000002</c:v>
                </c:pt>
                <c:pt idx="268">
                  <c:v>66.686000000000007</c:v>
                </c:pt>
                <c:pt idx="269">
                  <c:v>66.774000000000001</c:v>
                </c:pt>
                <c:pt idx="270">
                  <c:v>67.061000000000007</c:v>
                </c:pt>
                <c:pt idx="271">
                  <c:v>67.116</c:v>
                </c:pt>
                <c:pt idx="272">
                  <c:v>67.286000000000001</c:v>
                </c:pt>
                <c:pt idx="273">
                  <c:v>67.497</c:v>
                </c:pt>
                <c:pt idx="274">
                  <c:v>67.516000000000005</c:v>
                </c:pt>
                <c:pt idx="275">
                  <c:v>67.902000000000001</c:v>
                </c:pt>
                <c:pt idx="276">
                  <c:v>68.028000000000006</c:v>
                </c:pt>
                <c:pt idx="277">
                  <c:v>68.287999999999997</c:v>
                </c:pt>
                <c:pt idx="278">
                  <c:v>68.337000000000003</c:v>
                </c:pt>
                <c:pt idx="279">
                  <c:v>68.408000000000001</c:v>
                </c:pt>
                <c:pt idx="280">
                  <c:v>68.882000000000005</c:v>
                </c:pt>
                <c:pt idx="281">
                  <c:v>70.257000000000005</c:v>
                </c:pt>
                <c:pt idx="282">
                  <c:v>71.363</c:v>
                </c:pt>
                <c:pt idx="283">
                  <c:v>71.385000000000005</c:v>
                </c:pt>
                <c:pt idx="284">
                  <c:v>74.864000000000004</c:v>
                </c:pt>
              </c:numCache>
            </c:numRef>
          </c:xVal>
          <c:yVal>
            <c:numRef>
              <c:f>'01'!$D$7:$D$5005</c:f>
              <c:numCache>
                <c:formatCode>0.0000</c:formatCode>
                <c:ptCount val="4999"/>
                <c:pt idx="0">
                  <c:v>0.16051599999999999</c:v>
                </c:pt>
                <c:pt idx="1">
                  <c:v>0.16050500000000001</c:v>
                </c:pt>
                <c:pt idx="2">
                  <c:v>0.16043099999999999</c:v>
                </c:pt>
                <c:pt idx="3">
                  <c:v>0.16051599999999999</c:v>
                </c:pt>
                <c:pt idx="4">
                  <c:v>0.16051299999999999</c:v>
                </c:pt>
                <c:pt idx="5">
                  <c:v>0.16050200000000001</c:v>
                </c:pt>
                <c:pt idx="6">
                  <c:v>0.160464</c:v>
                </c:pt>
                <c:pt idx="7">
                  <c:v>0.160548</c:v>
                </c:pt>
                <c:pt idx="8">
                  <c:v>0.16053300000000001</c:v>
                </c:pt>
                <c:pt idx="9">
                  <c:v>0.16051599999999999</c:v>
                </c:pt>
                <c:pt idx="10">
                  <c:v>0.16068099999999999</c:v>
                </c:pt>
                <c:pt idx="11">
                  <c:v>0.174621</c:v>
                </c:pt>
                <c:pt idx="12">
                  <c:v>0.16068399999999999</c:v>
                </c:pt>
                <c:pt idx="13">
                  <c:v>0.17461499999999999</c:v>
                </c:pt>
                <c:pt idx="14">
                  <c:v>0.16750000000000001</c:v>
                </c:pt>
                <c:pt idx="15">
                  <c:v>0.165408</c:v>
                </c:pt>
                <c:pt idx="16">
                  <c:v>0.160689</c:v>
                </c:pt>
                <c:pt idx="17">
                  <c:v>0.16058600000000001</c:v>
                </c:pt>
                <c:pt idx="18">
                  <c:v>0.16068299999999999</c:v>
                </c:pt>
                <c:pt idx="19">
                  <c:v>0.16069700000000001</c:v>
                </c:pt>
                <c:pt idx="20">
                  <c:v>0.16076399999999999</c:v>
                </c:pt>
                <c:pt idx="21">
                  <c:v>0.17072300000000001</c:v>
                </c:pt>
                <c:pt idx="22">
                  <c:v>0.16039200000000001</c:v>
                </c:pt>
                <c:pt idx="23">
                  <c:v>0.16061600000000001</c:v>
                </c:pt>
                <c:pt idx="24">
                  <c:v>0.205371</c:v>
                </c:pt>
                <c:pt idx="25">
                  <c:v>0.16068099999999999</c:v>
                </c:pt>
                <c:pt idx="26">
                  <c:v>0.17082600000000001</c:v>
                </c:pt>
                <c:pt idx="27">
                  <c:v>0.16079399999999999</c:v>
                </c:pt>
                <c:pt idx="28">
                  <c:v>0.160722</c:v>
                </c:pt>
                <c:pt idx="29">
                  <c:v>0.159745</c:v>
                </c:pt>
                <c:pt idx="30">
                  <c:v>0.16070300000000001</c:v>
                </c:pt>
                <c:pt idx="31">
                  <c:v>0.16070000000000001</c:v>
                </c:pt>
                <c:pt idx="32">
                  <c:v>0.16064100000000001</c:v>
                </c:pt>
                <c:pt idx="33">
                  <c:v>0.160168</c:v>
                </c:pt>
                <c:pt idx="34">
                  <c:v>0.17543800000000001</c:v>
                </c:pt>
                <c:pt idx="35">
                  <c:v>0.16067500000000001</c:v>
                </c:pt>
                <c:pt idx="36">
                  <c:v>0.16068299999999999</c:v>
                </c:pt>
                <c:pt idx="37">
                  <c:v>0.16068299999999999</c:v>
                </c:pt>
                <c:pt idx="38">
                  <c:v>0.16068299999999999</c:v>
                </c:pt>
                <c:pt idx="39">
                  <c:v>0.16066900000000001</c:v>
                </c:pt>
                <c:pt idx="40">
                  <c:v>0.160693</c:v>
                </c:pt>
                <c:pt idx="41">
                  <c:v>0.16118099999999999</c:v>
                </c:pt>
                <c:pt idx="42">
                  <c:v>0.162078</c:v>
                </c:pt>
                <c:pt idx="43">
                  <c:v>0.160686</c:v>
                </c:pt>
                <c:pt idx="44">
                  <c:v>0.16067999999999999</c:v>
                </c:pt>
                <c:pt idx="45">
                  <c:v>4.3332000000000002E-2</c:v>
                </c:pt>
                <c:pt idx="46">
                  <c:v>0.16156499999999999</c:v>
                </c:pt>
                <c:pt idx="47">
                  <c:v>0.16070799999999999</c:v>
                </c:pt>
                <c:pt idx="48">
                  <c:v>0.135329</c:v>
                </c:pt>
                <c:pt idx="49">
                  <c:v>0.17560200000000001</c:v>
                </c:pt>
                <c:pt idx="50">
                  <c:v>0.16068099999999999</c:v>
                </c:pt>
                <c:pt idx="51">
                  <c:v>0.160689</c:v>
                </c:pt>
                <c:pt idx="52">
                  <c:v>0.160168</c:v>
                </c:pt>
                <c:pt idx="53">
                  <c:v>0.16131799999999999</c:v>
                </c:pt>
                <c:pt idx="54">
                  <c:v>0.160748</c:v>
                </c:pt>
                <c:pt idx="55">
                  <c:v>0.16075200000000001</c:v>
                </c:pt>
                <c:pt idx="56">
                  <c:v>0.16069700000000001</c:v>
                </c:pt>
                <c:pt idx="57">
                  <c:v>0.16075600000000001</c:v>
                </c:pt>
                <c:pt idx="58">
                  <c:v>7.8855999999999996E-2</c:v>
                </c:pt>
                <c:pt idx="59">
                  <c:v>0.160749</c:v>
                </c:pt>
                <c:pt idx="60">
                  <c:v>0.160749</c:v>
                </c:pt>
                <c:pt idx="61">
                  <c:v>0.160748</c:v>
                </c:pt>
                <c:pt idx="62">
                  <c:v>0.17555499999999999</c:v>
                </c:pt>
                <c:pt idx="63">
                  <c:v>0.16075</c:v>
                </c:pt>
                <c:pt idx="64">
                  <c:v>0.16078200000000001</c:v>
                </c:pt>
                <c:pt idx="65">
                  <c:v>0.160748</c:v>
                </c:pt>
                <c:pt idx="66">
                  <c:v>0.16054399999999999</c:v>
                </c:pt>
                <c:pt idx="67">
                  <c:v>0.15873699999999999</c:v>
                </c:pt>
                <c:pt idx="68">
                  <c:v>0.160749</c:v>
                </c:pt>
                <c:pt idx="69">
                  <c:v>0.16075</c:v>
                </c:pt>
                <c:pt idx="70">
                  <c:v>0.16072400000000001</c:v>
                </c:pt>
                <c:pt idx="71">
                  <c:v>0.160751</c:v>
                </c:pt>
                <c:pt idx="72">
                  <c:v>0.173926</c:v>
                </c:pt>
                <c:pt idx="73">
                  <c:v>0.12772</c:v>
                </c:pt>
                <c:pt idx="74">
                  <c:v>0.160749</c:v>
                </c:pt>
                <c:pt idx="75">
                  <c:v>0.160749</c:v>
                </c:pt>
                <c:pt idx="76">
                  <c:v>0.160746</c:v>
                </c:pt>
                <c:pt idx="77">
                  <c:v>0.16098499999999999</c:v>
                </c:pt>
                <c:pt idx="78">
                  <c:v>0.16073399999999999</c:v>
                </c:pt>
                <c:pt idx="79">
                  <c:v>0.16073399999999999</c:v>
                </c:pt>
                <c:pt idx="80">
                  <c:v>0.16086300000000001</c:v>
                </c:pt>
                <c:pt idx="81">
                  <c:v>0.160749</c:v>
                </c:pt>
                <c:pt idx="82">
                  <c:v>0.16075</c:v>
                </c:pt>
                <c:pt idx="83">
                  <c:v>0.160638</c:v>
                </c:pt>
                <c:pt idx="84">
                  <c:v>0.160748</c:v>
                </c:pt>
                <c:pt idx="85">
                  <c:v>0.16072800000000001</c:v>
                </c:pt>
                <c:pt idx="86">
                  <c:v>0.161269</c:v>
                </c:pt>
                <c:pt idx="87">
                  <c:v>0.16082099999999999</c:v>
                </c:pt>
                <c:pt idx="88">
                  <c:v>0.18290100000000001</c:v>
                </c:pt>
                <c:pt idx="89">
                  <c:v>0.160748</c:v>
                </c:pt>
                <c:pt idx="90">
                  <c:v>0.160749</c:v>
                </c:pt>
                <c:pt idx="91">
                  <c:v>0.160661</c:v>
                </c:pt>
                <c:pt idx="92">
                  <c:v>0.160745</c:v>
                </c:pt>
                <c:pt idx="93">
                  <c:v>0.160748</c:v>
                </c:pt>
                <c:pt idx="94">
                  <c:v>0.14736099999999999</c:v>
                </c:pt>
                <c:pt idx="95">
                  <c:v>0.160748</c:v>
                </c:pt>
                <c:pt idx="96">
                  <c:v>0.17554700000000001</c:v>
                </c:pt>
                <c:pt idx="97">
                  <c:v>0.15831100000000001</c:v>
                </c:pt>
                <c:pt idx="98">
                  <c:v>0.16075500000000001</c:v>
                </c:pt>
                <c:pt idx="99">
                  <c:v>0.160826</c:v>
                </c:pt>
                <c:pt idx="100">
                  <c:v>0.160749</c:v>
                </c:pt>
                <c:pt idx="101">
                  <c:v>0.16662399999999999</c:v>
                </c:pt>
                <c:pt idx="102">
                  <c:v>0.14942</c:v>
                </c:pt>
                <c:pt idx="103">
                  <c:v>0.14942</c:v>
                </c:pt>
                <c:pt idx="104">
                  <c:v>0.13062199999999999</c:v>
                </c:pt>
                <c:pt idx="105">
                  <c:v>0.14942</c:v>
                </c:pt>
                <c:pt idx="106">
                  <c:v>0.149422</c:v>
                </c:pt>
                <c:pt idx="107">
                  <c:v>0.149424</c:v>
                </c:pt>
                <c:pt idx="108">
                  <c:v>0.149422</c:v>
                </c:pt>
                <c:pt idx="109">
                  <c:v>0.14942</c:v>
                </c:pt>
                <c:pt idx="110">
                  <c:v>0.17458799999999999</c:v>
                </c:pt>
                <c:pt idx="111">
                  <c:v>0.14951800000000001</c:v>
                </c:pt>
                <c:pt idx="112">
                  <c:v>0.172399</c:v>
                </c:pt>
                <c:pt idx="113">
                  <c:v>0.17474600000000001</c:v>
                </c:pt>
                <c:pt idx="114">
                  <c:v>0.149422</c:v>
                </c:pt>
                <c:pt idx="115">
                  <c:v>4.3614E-2</c:v>
                </c:pt>
                <c:pt idx="116">
                  <c:v>0.169183</c:v>
                </c:pt>
                <c:pt idx="117">
                  <c:v>0.14942</c:v>
                </c:pt>
                <c:pt idx="118">
                  <c:v>0.14941699999999999</c:v>
                </c:pt>
                <c:pt idx="119">
                  <c:v>0.14942</c:v>
                </c:pt>
                <c:pt idx="120">
                  <c:v>0.149424</c:v>
                </c:pt>
                <c:pt idx="121">
                  <c:v>0.160745</c:v>
                </c:pt>
                <c:pt idx="122">
                  <c:v>0.149423</c:v>
                </c:pt>
                <c:pt idx="123">
                  <c:v>0.105173</c:v>
                </c:pt>
                <c:pt idx="124">
                  <c:v>0.170818</c:v>
                </c:pt>
                <c:pt idx="125">
                  <c:v>0.14942</c:v>
                </c:pt>
                <c:pt idx="126">
                  <c:v>0.14932400000000001</c:v>
                </c:pt>
                <c:pt idx="127">
                  <c:v>0.14943300000000001</c:v>
                </c:pt>
                <c:pt idx="128">
                  <c:v>0.14943100000000001</c:v>
                </c:pt>
                <c:pt idx="129">
                  <c:v>0.149419</c:v>
                </c:pt>
                <c:pt idx="130">
                  <c:v>0.14942</c:v>
                </c:pt>
                <c:pt idx="131">
                  <c:v>0.14942</c:v>
                </c:pt>
                <c:pt idx="132">
                  <c:v>0.14949599999999999</c:v>
                </c:pt>
                <c:pt idx="133">
                  <c:v>0.14937</c:v>
                </c:pt>
                <c:pt idx="134">
                  <c:v>0.14944199999999999</c:v>
                </c:pt>
                <c:pt idx="135">
                  <c:v>0.14942</c:v>
                </c:pt>
                <c:pt idx="136">
                  <c:v>0.14942</c:v>
                </c:pt>
                <c:pt idx="137">
                  <c:v>0.149426</c:v>
                </c:pt>
                <c:pt idx="138">
                  <c:v>0.14974899999999999</c:v>
                </c:pt>
                <c:pt idx="139">
                  <c:v>0.175541</c:v>
                </c:pt>
                <c:pt idx="140">
                  <c:v>0.149422</c:v>
                </c:pt>
                <c:pt idx="141">
                  <c:v>0.14939</c:v>
                </c:pt>
                <c:pt idx="142">
                  <c:v>0.149419</c:v>
                </c:pt>
                <c:pt idx="143">
                  <c:v>0.14941499999999999</c:v>
                </c:pt>
                <c:pt idx="144">
                  <c:v>0.149425</c:v>
                </c:pt>
                <c:pt idx="145">
                  <c:v>0.14944299999999999</c:v>
                </c:pt>
                <c:pt idx="146">
                  <c:v>0.149423</c:v>
                </c:pt>
                <c:pt idx="147">
                  <c:v>0.149423</c:v>
                </c:pt>
                <c:pt idx="148">
                  <c:v>0.148981</c:v>
                </c:pt>
                <c:pt idx="149">
                  <c:v>0.149419</c:v>
                </c:pt>
                <c:pt idx="150">
                  <c:v>0.149423</c:v>
                </c:pt>
                <c:pt idx="151">
                  <c:v>0.14929799999999999</c:v>
                </c:pt>
                <c:pt idx="152">
                  <c:v>0.149425</c:v>
                </c:pt>
                <c:pt idx="153">
                  <c:v>0.14942</c:v>
                </c:pt>
                <c:pt idx="154">
                  <c:v>0.14942</c:v>
                </c:pt>
                <c:pt idx="155">
                  <c:v>0.17213600000000001</c:v>
                </c:pt>
                <c:pt idx="156">
                  <c:v>0.13902500000000001</c:v>
                </c:pt>
                <c:pt idx="157">
                  <c:v>0.13894899999999999</c:v>
                </c:pt>
                <c:pt idx="158">
                  <c:v>0.138989</c:v>
                </c:pt>
                <c:pt idx="159">
                  <c:v>0.13902400000000001</c:v>
                </c:pt>
                <c:pt idx="160">
                  <c:v>0.139185</c:v>
                </c:pt>
                <c:pt idx="161">
                  <c:v>0.13902500000000001</c:v>
                </c:pt>
                <c:pt idx="162">
                  <c:v>0.139014</c:v>
                </c:pt>
                <c:pt idx="163">
                  <c:v>0.17621700000000001</c:v>
                </c:pt>
                <c:pt idx="164">
                  <c:v>0.17499400000000001</c:v>
                </c:pt>
                <c:pt idx="165">
                  <c:v>0.14089099999999999</c:v>
                </c:pt>
                <c:pt idx="166">
                  <c:v>0.13902900000000001</c:v>
                </c:pt>
                <c:pt idx="167">
                  <c:v>0.13914599999999999</c:v>
                </c:pt>
                <c:pt idx="168">
                  <c:v>0.13908999999999999</c:v>
                </c:pt>
                <c:pt idx="169">
                  <c:v>0.160749</c:v>
                </c:pt>
                <c:pt idx="170">
                  <c:v>0.139014</c:v>
                </c:pt>
                <c:pt idx="171">
                  <c:v>0.13966899999999999</c:v>
                </c:pt>
                <c:pt idx="172">
                  <c:v>0.152534</c:v>
                </c:pt>
                <c:pt idx="173">
                  <c:v>0.13902500000000001</c:v>
                </c:pt>
                <c:pt idx="174">
                  <c:v>0.13909299999999999</c:v>
                </c:pt>
                <c:pt idx="175">
                  <c:v>0.116725</c:v>
                </c:pt>
                <c:pt idx="176">
                  <c:v>0.13902300000000001</c:v>
                </c:pt>
                <c:pt idx="177">
                  <c:v>4.1939999999999998E-2</c:v>
                </c:pt>
                <c:pt idx="178">
                  <c:v>0.13905000000000001</c:v>
                </c:pt>
                <c:pt idx="179">
                  <c:v>0.13902700000000001</c:v>
                </c:pt>
                <c:pt idx="180">
                  <c:v>0.13902600000000001</c:v>
                </c:pt>
                <c:pt idx="181">
                  <c:v>0.13902700000000001</c:v>
                </c:pt>
                <c:pt idx="182">
                  <c:v>0.141315</c:v>
                </c:pt>
                <c:pt idx="183">
                  <c:v>0.171375</c:v>
                </c:pt>
                <c:pt idx="184">
                  <c:v>0.13902500000000001</c:v>
                </c:pt>
                <c:pt idx="185">
                  <c:v>0.139018</c:v>
                </c:pt>
                <c:pt idx="186">
                  <c:v>0.13902500000000001</c:v>
                </c:pt>
                <c:pt idx="187">
                  <c:v>0.175478</c:v>
                </c:pt>
                <c:pt idx="188">
                  <c:v>0.13902500000000001</c:v>
                </c:pt>
                <c:pt idx="189">
                  <c:v>0.13909299999999999</c:v>
                </c:pt>
                <c:pt idx="190">
                  <c:v>0.13903699999999999</c:v>
                </c:pt>
                <c:pt idx="191">
                  <c:v>0.139019</c:v>
                </c:pt>
                <c:pt idx="192">
                  <c:v>0.13903699999999999</c:v>
                </c:pt>
                <c:pt idx="193">
                  <c:v>0.13902500000000001</c:v>
                </c:pt>
                <c:pt idx="194">
                  <c:v>0.13902500000000001</c:v>
                </c:pt>
                <c:pt idx="195">
                  <c:v>0.13902600000000001</c:v>
                </c:pt>
                <c:pt idx="196">
                  <c:v>0.14425499999999999</c:v>
                </c:pt>
                <c:pt idx="197">
                  <c:v>0.14938899999999999</c:v>
                </c:pt>
                <c:pt idx="198">
                  <c:v>0.12836600000000001</c:v>
                </c:pt>
                <c:pt idx="199">
                  <c:v>0.12836800000000001</c:v>
                </c:pt>
                <c:pt idx="200">
                  <c:v>0.12836600000000001</c:v>
                </c:pt>
                <c:pt idx="201">
                  <c:v>0.12836500000000001</c:v>
                </c:pt>
                <c:pt idx="202">
                  <c:v>0.128359</c:v>
                </c:pt>
                <c:pt idx="203">
                  <c:v>0.12836600000000001</c:v>
                </c:pt>
                <c:pt idx="204">
                  <c:v>0.12836600000000001</c:v>
                </c:pt>
                <c:pt idx="205">
                  <c:v>0.12836600000000001</c:v>
                </c:pt>
                <c:pt idx="206">
                  <c:v>0.15586800000000001</c:v>
                </c:pt>
                <c:pt idx="207">
                  <c:v>0.12839900000000001</c:v>
                </c:pt>
                <c:pt idx="208">
                  <c:v>0.128357</c:v>
                </c:pt>
                <c:pt idx="209">
                  <c:v>0.12837100000000001</c:v>
                </c:pt>
                <c:pt idx="210">
                  <c:v>0.128355</c:v>
                </c:pt>
                <c:pt idx="211">
                  <c:v>0.109143</c:v>
                </c:pt>
                <c:pt idx="212">
                  <c:v>0.12836600000000001</c:v>
                </c:pt>
                <c:pt idx="213">
                  <c:v>0.12836600000000001</c:v>
                </c:pt>
                <c:pt idx="214">
                  <c:v>0.128329</c:v>
                </c:pt>
                <c:pt idx="215">
                  <c:v>0.12831699999999999</c:v>
                </c:pt>
                <c:pt idx="216">
                  <c:v>0.12836800000000001</c:v>
                </c:pt>
                <c:pt idx="217">
                  <c:v>0.128387</c:v>
                </c:pt>
                <c:pt idx="218">
                  <c:v>0.16297500000000001</c:v>
                </c:pt>
                <c:pt idx="219">
                  <c:v>0.134935</c:v>
                </c:pt>
                <c:pt idx="220">
                  <c:v>0.116969</c:v>
                </c:pt>
                <c:pt idx="221">
                  <c:v>8.7357000000000004E-2</c:v>
                </c:pt>
                <c:pt idx="222">
                  <c:v>0.116968</c:v>
                </c:pt>
                <c:pt idx="223">
                  <c:v>0.116963</c:v>
                </c:pt>
                <c:pt idx="224">
                  <c:v>0.11697100000000001</c:v>
                </c:pt>
                <c:pt idx="225">
                  <c:v>0.117044</c:v>
                </c:pt>
                <c:pt idx="226">
                  <c:v>0.169236</c:v>
                </c:pt>
                <c:pt idx="227">
                  <c:v>0.11698</c:v>
                </c:pt>
                <c:pt idx="228">
                  <c:v>0.140101</c:v>
                </c:pt>
                <c:pt idx="229">
                  <c:v>0.116969</c:v>
                </c:pt>
                <c:pt idx="230">
                  <c:v>0.11697</c:v>
                </c:pt>
                <c:pt idx="231">
                  <c:v>0.17252600000000001</c:v>
                </c:pt>
                <c:pt idx="232">
                  <c:v>0.121285</c:v>
                </c:pt>
                <c:pt idx="233">
                  <c:v>0.17106399999999999</c:v>
                </c:pt>
                <c:pt idx="234">
                  <c:v>0.17555399999999999</c:v>
                </c:pt>
                <c:pt idx="235">
                  <c:v>0.116965</c:v>
                </c:pt>
                <c:pt idx="236">
                  <c:v>0.116967</c:v>
                </c:pt>
                <c:pt idx="237">
                  <c:v>0.11697100000000001</c:v>
                </c:pt>
                <c:pt idx="238">
                  <c:v>0.11697</c:v>
                </c:pt>
                <c:pt idx="239">
                  <c:v>-6.1901999999999999E-2</c:v>
                </c:pt>
                <c:pt idx="240">
                  <c:v>0.116967</c:v>
                </c:pt>
                <c:pt idx="241">
                  <c:v>0.11691500000000001</c:v>
                </c:pt>
                <c:pt idx="242">
                  <c:v>0.158633</c:v>
                </c:pt>
                <c:pt idx="243">
                  <c:v>0.140902</c:v>
                </c:pt>
                <c:pt idx="244">
                  <c:v>0.148114</c:v>
                </c:pt>
                <c:pt idx="245">
                  <c:v>0.116956</c:v>
                </c:pt>
                <c:pt idx="246">
                  <c:v>0.112857</c:v>
                </c:pt>
                <c:pt idx="247">
                  <c:v>0.116968</c:v>
                </c:pt>
                <c:pt idx="248">
                  <c:v>0.105166</c:v>
                </c:pt>
                <c:pt idx="249">
                  <c:v>0.105173</c:v>
                </c:pt>
                <c:pt idx="250">
                  <c:v>0.17050399999999999</c:v>
                </c:pt>
                <c:pt idx="251">
                  <c:v>0.105173</c:v>
                </c:pt>
                <c:pt idx="252">
                  <c:v>0.170511</c:v>
                </c:pt>
                <c:pt idx="253">
                  <c:v>0.11697</c:v>
                </c:pt>
                <c:pt idx="254">
                  <c:v>0.105171</c:v>
                </c:pt>
                <c:pt idx="255">
                  <c:v>0.105171</c:v>
                </c:pt>
                <c:pt idx="256">
                  <c:v>0.112391</c:v>
                </c:pt>
                <c:pt idx="257">
                  <c:v>0.105166</c:v>
                </c:pt>
                <c:pt idx="258">
                  <c:v>0.105171</c:v>
                </c:pt>
                <c:pt idx="259">
                  <c:v>7.4555999999999997E-2</c:v>
                </c:pt>
                <c:pt idx="260">
                  <c:v>0.105171</c:v>
                </c:pt>
                <c:pt idx="261">
                  <c:v>0.10517</c:v>
                </c:pt>
                <c:pt idx="262">
                  <c:v>0.105171</c:v>
                </c:pt>
                <c:pt idx="263">
                  <c:v>0.10517</c:v>
                </c:pt>
                <c:pt idx="264">
                  <c:v>0.105169</c:v>
                </c:pt>
                <c:pt idx="265">
                  <c:v>0.174959</c:v>
                </c:pt>
                <c:pt idx="266">
                  <c:v>0.115951</c:v>
                </c:pt>
                <c:pt idx="267">
                  <c:v>0.105171</c:v>
                </c:pt>
                <c:pt idx="268">
                  <c:v>0.105173</c:v>
                </c:pt>
                <c:pt idx="269">
                  <c:v>0.105171</c:v>
                </c:pt>
                <c:pt idx="270">
                  <c:v>3.9326E-2</c:v>
                </c:pt>
                <c:pt idx="271">
                  <c:v>0.105171</c:v>
                </c:pt>
                <c:pt idx="272">
                  <c:v>0.10517</c:v>
                </c:pt>
                <c:pt idx="273">
                  <c:v>0.12936400000000001</c:v>
                </c:pt>
                <c:pt idx="274">
                  <c:v>0.105171</c:v>
                </c:pt>
                <c:pt idx="275">
                  <c:v>0.17046600000000001</c:v>
                </c:pt>
                <c:pt idx="276">
                  <c:v>8.5891999999999996E-2</c:v>
                </c:pt>
                <c:pt idx="277">
                  <c:v>0.173427</c:v>
                </c:pt>
                <c:pt idx="278">
                  <c:v>8.5885000000000003E-2</c:v>
                </c:pt>
                <c:pt idx="279">
                  <c:v>0.146619</c:v>
                </c:pt>
                <c:pt idx="280">
                  <c:v>8.5890999999999995E-2</c:v>
                </c:pt>
                <c:pt idx="281">
                  <c:v>8.5887000000000005E-2</c:v>
                </c:pt>
                <c:pt idx="282">
                  <c:v>8.5891999999999996E-2</c:v>
                </c:pt>
                <c:pt idx="283">
                  <c:v>0.12612599999999999</c:v>
                </c:pt>
                <c:pt idx="284">
                  <c:v>7.8854999999999995E-2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19-429C-B01E-0D3CE0C3070F}"/>
            </c:ext>
          </c:extLst>
        </c:ser>
        <c:ser>
          <c:idx val="2"/>
          <c:order val="1"/>
          <c:tx>
            <c:strRef>
              <c:f>'01'!$K$4:$M$4</c:f>
              <c:strCache>
                <c:ptCount val="1"/>
                <c:pt idx="0">
                  <c:v>Median Returns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20"/>
            <c:spPr>
              <a:solidFill>
                <a:srgbClr val="E75300">
                  <a:alpha val="74902"/>
                </a:srgbClr>
              </a:solidFill>
              <a:ln>
                <a:solidFill>
                  <a:schemeClr val="bg1">
                    <a:alpha val="50000"/>
                  </a:schemeClr>
                </a:solidFill>
              </a:ln>
            </c:spPr>
          </c:marker>
          <c:xVal>
            <c:numRef>
              <c:f>'01'!$L$6:$L$10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'01'!$M$6:$M$10</c:f>
              <c:numCache>
                <c:formatCode>0.0%</c:formatCode>
                <c:ptCount val="5"/>
                <c:pt idx="0">
                  <c:v>0.16068099999999999</c:v>
                </c:pt>
                <c:pt idx="1">
                  <c:v>0.16073100000000001</c:v>
                </c:pt>
                <c:pt idx="2">
                  <c:v>0.139185</c:v>
                </c:pt>
                <c:pt idx="3">
                  <c:v>0.11697</c:v>
                </c:pt>
                <c:pt idx="4">
                  <c:v>0.105171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19-429C-B01E-0D3CE0C3070F}"/>
            </c:ext>
          </c:extLst>
        </c:ser>
        <c:ser>
          <c:idx val="1"/>
          <c:order val="2"/>
          <c:tx>
            <c:strRef>
              <c:f>'01'!$F$4:$I$4</c:f>
              <c:strCache>
                <c:ptCount val="1"/>
                <c:pt idx="0">
                  <c:v>Benchmark Returns
From xml File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24"/>
            <c:spPr>
              <a:solidFill>
                <a:srgbClr val="3C8A2E">
                  <a:alpha val="75000"/>
                </a:srgbClr>
              </a:solidFill>
              <a:ln>
                <a:solidFill>
                  <a:schemeClr val="bg1">
                    <a:alpha val="50000"/>
                  </a:schemeClr>
                </a:solidFill>
              </a:ln>
            </c:spPr>
          </c:marker>
          <c:dLbls>
            <c:dLbl>
              <c:idx val="0"/>
              <c:tx>
                <c:strRef>
                  <c:f>'01'!$F$6</c:f>
                  <c:strCache>
                    <c:ptCount val="1"/>
                    <c:pt idx="0">
                      <c:v>IN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{2183EDA3-D239-45C7-ADC4-1742E213C17C}</c15:txfldGUID>
                      <c15:f>'01'!$F$6</c15:f>
                      <c15:dlblFieldTableCache>
                        <c:ptCount val="1"/>
                        <c:pt idx="0">
                          <c:v>IN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8819-429C-B01E-0D3CE0C3070F}"/>
                </c:ext>
              </c:extLst>
            </c:dLbl>
            <c:dLbl>
              <c:idx val="1"/>
              <c:tx>
                <c:strRef>
                  <c:f>'01'!$F$7</c:f>
                  <c:strCache>
                    <c:ptCount val="1"/>
                    <c:pt idx="0">
                      <c:v>10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{E69C3C72-A90B-4FE6-8F71-333D0E401D5E}</c15:txfldGUID>
                      <c15:f>'01'!$F$7</c15:f>
                      <c15:dlblFieldTableCache>
                        <c:ptCount val="1"/>
                        <c:pt idx="0">
                          <c:v>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8819-429C-B01E-0D3CE0C3070F}"/>
                </c:ext>
              </c:extLst>
            </c:dLbl>
            <c:dLbl>
              <c:idx val="2"/>
              <c:tx>
                <c:strRef>
                  <c:f>'01'!$F$8</c:f>
                  <c:strCache>
                    <c:ptCount val="1"/>
                    <c:pt idx="0">
                      <c:v>15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{BC21BFB6-AEC3-4AED-9186-93BBD04E7920}</c15:txfldGUID>
                      <c15:f>'01'!$F$8</c15:f>
                      <c15:dlblFieldTableCache>
                        <c:ptCount val="1"/>
                        <c:pt idx="0">
                          <c:v>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8819-429C-B01E-0D3CE0C3070F}"/>
                </c:ext>
              </c:extLst>
            </c:dLbl>
            <c:dLbl>
              <c:idx val="3"/>
              <c:tx>
                <c:strRef>
                  <c:f>'01'!$F$9</c:f>
                  <c:strCache>
                    <c:ptCount val="1"/>
                    <c:pt idx="0">
                      <c:v>20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{3587D7B8-C3A4-4865-A791-8ED13A1C2456}</c15:txfldGUID>
                      <c15:f>'01'!$F$9</c15:f>
                      <c15:dlblFieldTableCache>
                        <c:ptCount val="1"/>
                        <c:pt idx="0">
                          <c:v>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8819-429C-B01E-0D3CE0C3070F}"/>
                </c:ext>
              </c:extLst>
            </c:dLbl>
            <c:dLbl>
              <c:idx val="4"/>
              <c:tx>
                <c:strRef>
                  <c:f>'01'!$F$10</c:f>
                  <c:strCache>
                    <c:ptCount val="1"/>
                    <c:pt idx="0">
                      <c:v>25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{4AB0045C-F260-4E84-80F8-797D1E361AFA}</c15:txfldGUID>
                      <c15:f>'01'!$F$10</c15:f>
                      <c15:dlblFieldTableCache>
                        <c:ptCount val="1"/>
                        <c:pt idx="0">
                          <c:v>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8819-429C-B01E-0D3CE0C3070F}"/>
                </c:ext>
              </c:extLst>
            </c:dLbl>
            <c:dLbl>
              <c:idx val="5"/>
              <c:tx>
                <c:strRef>
                  <c:f>'01'!$F$11</c:f>
                  <c:strCache>
                    <c:ptCount val="1"/>
                    <c:pt idx="0">
                      <c:v>30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{D1C0ACFD-AF2B-4EA0-8343-EB7D553279C5}</c15:txfldGUID>
                      <c15:f>'01'!$F$11</c15:f>
                      <c15:dlblFieldTableCache>
                        <c:ptCount val="1"/>
                        <c:pt idx="0">
                          <c:v>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8819-429C-B01E-0D3CE0C3070F}"/>
                </c:ext>
              </c:extLst>
            </c:dLbl>
            <c:dLbl>
              <c:idx val="6"/>
              <c:tx>
                <c:strRef>
                  <c:f>'01'!$F$12</c:f>
                  <c:strCache>
                    <c:ptCount val="1"/>
                    <c:pt idx="0">
                      <c:v>35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{0DE0A982-7BFE-4F5E-9581-4AEC72B33E62}</c15:txfldGUID>
                      <c15:f>'01'!$F$12</c15:f>
                      <c15:dlblFieldTableCache>
                        <c:ptCount val="1"/>
                        <c:pt idx="0">
                          <c:v>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8819-429C-B01E-0D3CE0C3070F}"/>
                </c:ext>
              </c:extLst>
            </c:dLbl>
            <c:dLbl>
              <c:idx val="7"/>
              <c:tx>
                <c:strRef>
                  <c:f>'01'!$F$13</c:f>
                  <c:strCache>
                    <c:ptCount val="1"/>
                    <c:pt idx="0">
                      <c:v>40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{0D034A51-5216-488E-A69A-E8795C55BDAB}</c15:txfldGUID>
                      <c15:f>'01'!$F$13</c15:f>
                      <c15:dlblFieldTableCache>
                        <c:ptCount val="1"/>
                        <c:pt idx="0">
                          <c:v>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8819-429C-B01E-0D3CE0C3070F}"/>
                </c:ext>
              </c:extLst>
            </c:dLbl>
            <c:dLbl>
              <c:idx val="8"/>
              <c:tx>
                <c:strRef>
                  <c:f>'01'!$F$14</c:f>
                  <c:strCache>
                    <c:ptCount val="1"/>
                    <c:pt idx="0">
                      <c:v>45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{70319589-A605-4EFD-B4E2-049AC02AD349}</c15:txfldGUID>
                      <c15:f>'01'!$F$14</c15:f>
                      <c15:dlblFieldTableCache>
                        <c:ptCount val="1"/>
                        <c:pt idx="0">
                          <c:v>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8819-429C-B01E-0D3CE0C3070F}"/>
                </c:ext>
              </c:extLst>
            </c:dLbl>
            <c:dLbl>
              <c:idx val="9"/>
              <c:tx>
                <c:strRef>
                  <c:f>'01'!$F$15</c:f>
                  <c:strCache>
                    <c:ptCount val="1"/>
                    <c:pt idx="0">
                      <c:v>50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{26CF1F65-B299-404A-9AF7-711042F4A771}</c15:txfldGUID>
                      <c15:f>'01'!$F$15</c15:f>
                      <c15:dlblFieldTableCache>
                        <c:ptCount val="1"/>
                        <c:pt idx="0">
                          <c:v>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8819-429C-B01E-0D3CE0C3070F}"/>
                </c:ext>
              </c:extLst>
            </c:dLbl>
            <c:dLbl>
              <c:idx val="10"/>
              <c:tx>
                <c:strRef>
                  <c:f>'01'!$F$16</c:f>
                  <c:strCache>
                    <c:ptCount val="1"/>
                    <c:pt idx="0">
                      <c:v>55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{E48583EE-DFE9-4005-8742-86BACBDA4F81}</c15:txfldGUID>
                      <c15:f>'01'!$F$16</c15:f>
                      <c15:dlblFieldTableCache>
                        <c:ptCount val="1"/>
                        <c:pt idx="0">
                          <c:v>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8819-429C-B01E-0D3CE0C3070F}"/>
                </c:ext>
              </c:extLst>
            </c:dLbl>
            <c:dLbl>
              <c:idx val="11"/>
              <c:tx>
                <c:strRef>
                  <c:f>'01'!$F$17</c:f>
                  <c:strCache>
                    <c:ptCount val="1"/>
                    <c:pt idx="0">
                      <c:v>60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{8DB61533-2E59-4227-8B5B-F7412CCB7897}</c15:txfldGUID>
                      <c15:f>'01'!$F$17</c15:f>
                      <c15:dlblFieldTableCache>
                        <c:ptCount val="1"/>
                        <c:pt idx="0">
                          <c:v>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8819-429C-B01E-0D3CE0C3070F}"/>
                </c:ext>
              </c:extLst>
            </c:dLbl>
            <c:dLbl>
              <c:idx val="12"/>
              <c:tx>
                <c:strRef>
                  <c:f>'01'!$F$18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{F9D22313-7AD6-4987-A5BC-425A3944AFE3}</c15:txfldGUID>
                      <c15:f>'01'!$F$18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8819-429C-B01E-0D3CE0C3070F}"/>
                </c:ext>
              </c:extLst>
            </c:dLbl>
            <c:dLbl>
              <c:idx val="13"/>
              <c:tx>
                <c:strRef>
                  <c:f>'01'!$F$19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{8B540FAE-71FC-4DCB-BC74-EAE2B494F34D}</c15:txfldGUID>
                      <c15:f>'01'!$F$19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8819-429C-B01E-0D3CE0C3070F}"/>
                </c:ext>
              </c:extLst>
            </c:dLbl>
            <c:dLbl>
              <c:idx val="14"/>
              <c:tx>
                <c:strRef>
                  <c:f>'01'!$F$20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{7A413AD0-1CA1-4148-BF2B-C77687900008}</c15:txfldGUID>
                      <c15:f>'01'!$F$20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8819-429C-B01E-0D3CE0C3070F}"/>
                </c:ext>
              </c:extLst>
            </c:dLbl>
            <c:dLbl>
              <c:idx val="15"/>
              <c:tx>
                <c:strRef>
                  <c:f>'01'!$F$21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{1EDFFF26-696B-487D-8BE8-C0C8B7C14864}</c15:txfldGUID>
                      <c15:f>'01'!$F$21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8819-429C-B01E-0D3CE0C307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'01'!$H$6:$H$21</c:f>
              <c:numCache>
                <c:formatCode>0.0</c:formatCode>
                <c:ptCount val="16"/>
                <c:pt idx="0">
                  <c:v>90.249628671362174</c:v>
                </c:pt>
                <c:pt idx="1">
                  <c:v>80.24805437483316</c:v>
                </c:pt>
                <c:pt idx="2">
                  <c:v>75.24863618007214</c:v>
                </c:pt>
                <c:pt idx="3">
                  <c:v>70.246480078304145</c:v>
                </c:pt>
                <c:pt idx="4">
                  <c:v>65.247061883543125</c:v>
                </c:pt>
                <c:pt idx="5">
                  <c:v>60.247643688782112</c:v>
                </c:pt>
                <c:pt idx="6">
                  <c:v>55.248225494021092</c:v>
                </c:pt>
                <c:pt idx="7">
                  <c:v>50.246069392253091</c:v>
                </c:pt>
                <c:pt idx="8">
                  <c:v>45.246651197492078</c:v>
                </c:pt>
                <c:pt idx="9">
                  <c:v>40.247233002731065</c:v>
                </c:pt>
                <c:pt idx="10">
                  <c:v>35.247814807970045</c:v>
                </c:pt>
                <c:pt idx="11">
                  <c:v>30.245658706202043</c:v>
                </c:pt>
              </c:numCache>
            </c:numRef>
          </c:xVal>
          <c:yVal>
            <c:numRef>
              <c:f>'01'!$I$6:$I$21</c:f>
              <c:numCache>
                <c:formatCode>0.0000</c:formatCode>
                <c:ptCount val="16"/>
                <c:pt idx="0">
                  <c:v>6.25E-2</c:v>
                </c:pt>
                <c:pt idx="1">
                  <c:v>7.0000000000000007E-2</c:v>
                </c:pt>
                <c:pt idx="2">
                  <c:v>8.0299999999999996E-2</c:v>
                </c:pt>
                <c:pt idx="3">
                  <c:v>9.2499999999999999E-2</c:v>
                </c:pt>
                <c:pt idx="4">
                  <c:v>0.10349999999999999</c:v>
                </c:pt>
                <c:pt idx="5">
                  <c:v>0.1135</c:v>
                </c:pt>
                <c:pt idx="6">
                  <c:v>0.12809999999999999</c:v>
                </c:pt>
                <c:pt idx="7">
                  <c:v>0.15190000000000001</c:v>
                </c:pt>
                <c:pt idx="8">
                  <c:v>0.1646</c:v>
                </c:pt>
                <c:pt idx="9">
                  <c:v>0.16450000000000001</c:v>
                </c:pt>
                <c:pt idx="10">
                  <c:v>0.16420000000000001</c:v>
                </c:pt>
                <c:pt idx="11">
                  <c:v>0.16439999999999999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819-429C-B01E-0D3CE0C30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61472"/>
        <c:axId val="119963008"/>
      </c:scatterChart>
      <c:valAx>
        <c:axId val="119961472"/>
        <c:scaling>
          <c:orientation val="minMax"/>
          <c:max val="75"/>
          <c:min val="25"/>
        </c:scaling>
        <c:delete val="0"/>
        <c:axPos val="b"/>
        <c:numFmt formatCode="0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119963008"/>
        <c:crossesAt val="-100"/>
        <c:crossBetween val="midCat"/>
        <c:majorUnit val="5"/>
      </c:valAx>
      <c:valAx>
        <c:axId val="119963008"/>
        <c:scaling>
          <c:orientation val="minMax"/>
          <c:max val="0.2"/>
          <c:min val="0.06"/>
        </c:scaling>
        <c:delete val="0"/>
        <c:axPos val="l"/>
        <c:numFmt formatCode="0%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119961472"/>
        <c:crosses val="autoZero"/>
        <c:crossBetween val="midCat"/>
        <c:majorUnit val="0.02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951354199004695E-2"/>
          <c:y val="2.1189304461942258E-2"/>
          <c:w val="0.92951638773647915"/>
          <c:h val="0.90918689851268586"/>
        </c:manualLayout>
      </c:layout>
      <c:scatterChart>
        <c:scatterStyle val="lineMarker"/>
        <c:varyColors val="0"/>
        <c:ser>
          <c:idx val="0"/>
          <c:order val="0"/>
          <c:tx>
            <c:strRef>
              <c:f>'02'!$B$4:$C$4</c:f>
              <c:strCache>
                <c:ptCount val="1"/>
                <c:pt idx="0">
                  <c:v>Scatter Series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4"/>
            <c:spPr>
              <a:solidFill>
                <a:schemeClr val="tx1">
                  <a:alpha val="50000"/>
                </a:schemeClr>
              </a:solidFill>
              <a:ln>
                <a:noFill/>
              </a:ln>
            </c:spPr>
          </c:marker>
          <c:xVal>
            <c:numRef>
              <c:f>'02'!$B$6:$B$5005</c:f>
              <c:numCache>
                <c:formatCode>0.0</c:formatCode>
                <c:ptCount val="5000"/>
                <c:pt idx="0">
                  <c:v>67.902000000000001</c:v>
                </c:pt>
                <c:pt idx="1">
                  <c:v>46.883000000000003</c:v>
                </c:pt>
                <c:pt idx="2">
                  <c:v>49.96</c:v>
                </c:pt>
                <c:pt idx="3">
                  <c:v>49.116999999999997</c:v>
                </c:pt>
                <c:pt idx="4">
                  <c:v>44.155999999999999</c:v>
                </c:pt>
                <c:pt idx="5">
                  <c:v>30.308</c:v>
                </c:pt>
                <c:pt idx="6">
                  <c:v>37.918999999999997</c:v>
                </c:pt>
                <c:pt idx="7">
                  <c:v>67.286000000000001</c:v>
                </c:pt>
                <c:pt idx="8">
                  <c:v>65.887</c:v>
                </c:pt>
                <c:pt idx="9">
                  <c:v>61.438000000000002</c:v>
                </c:pt>
                <c:pt idx="10">
                  <c:v>68.408000000000001</c:v>
                </c:pt>
                <c:pt idx="11">
                  <c:v>58.369</c:v>
                </c:pt>
                <c:pt idx="12">
                  <c:v>65.049000000000007</c:v>
                </c:pt>
                <c:pt idx="13">
                  <c:v>70.257000000000005</c:v>
                </c:pt>
                <c:pt idx="14">
                  <c:v>60.189</c:v>
                </c:pt>
                <c:pt idx="15">
                  <c:v>65.799000000000007</c:v>
                </c:pt>
                <c:pt idx="16">
                  <c:v>37.292000000000002</c:v>
                </c:pt>
                <c:pt idx="17">
                  <c:v>49.517000000000003</c:v>
                </c:pt>
                <c:pt idx="18">
                  <c:v>63.216999999999999</c:v>
                </c:pt>
                <c:pt idx="19">
                  <c:v>65.418999999999997</c:v>
                </c:pt>
                <c:pt idx="20">
                  <c:v>60.006</c:v>
                </c:pt>
                <c:pt idx="21">
                  <c:v>38.368000000000002</c:v>
                </c:pt>
                <c:pt idx="22">
                  <c:v>52.055</c:v>
                </c:pt>
                <c:pt idx="23">
                  <c:v>40.610999999999997</c:v>
                </c:pt>
                <c:pt idx="24">
                  <c:v>46.408999999999999</c:v>
                </c:pt>
                <c:pt idx="25">
                  <c:v>48.32</c:v>
                </c:pt>
                <c:pt idx="26">
                  <c:v>61.741999999999997</c:v>
                </c:pt>
                <c:pt idx="27">
                  <c:v>44.192</c:v>
                </c:pt>
                <c:pt idx="28">
                  <c:v>68.882000000000005</c:v>
                </c:pt>
                <c:pt idx="29">
                  <c:v>51.225000000000001</c:v>
                </c:pt>
                <c:pt idx="30">
                  <c:v>52.744999999999997</c:v>
                </c:pt>
                <c:pt idx="31">
                  <c:v>39.521000000000001</c:v>
                </c:pt>
                <c:pt idx="32">
                  <c:v>46.436999999999998</c:v>
                </c:pt>
                <c:pt idx="33">
                  <c:v>45.427</c:v>
                </c:pt>
                <c:pt idx="34">
                  <c:v>35.392000000000003</c:v>
                </c:pt>
                <c:pt idx="35">
                  <c:v>54.267000000000003</c:v>
                </c:pt>
                <c:pt idx="36">
                  <c:v>45.283999999999999</c:v>
                </c:pt>
                <c:pt idx="37">
                  <c:v>71.363</c:v>
                </c:pt>
                <c:pt idx="38">
                  <c:v>49.484000000000002</c:v>
                </c:pt>
                <c:pt idx="39">
                  <c:v>57.850999999999999</c:v>
                </c:pt>
                <c:pt idx="40">
                  <c:v>36.027000000000001</c:v>
                </c:pt>
                <c:pt idx="41">
                  <c:v>60.131999999999998</c:v>
                </c:pt>
                <c:pt idx="42">
                  <c:v>54.540999999999997</c:v>
                </c:pt>
                <c:pt idx="43">
                  <c:v>40.244</c:v>
                </c:pt>
                <c:pt idx="44">
                  <c:v>43.795000000000002</c:v>
                </c:pt>
                <c:pt idx="45">
                  <c:v>63.518999999999998</c:v>
                </c:pt>
                <c:pt idx="46">
                  <c:v>51.548000000000002</c:v>
                </c:pt>
                <c:pt idx="47">
                  <c:v>33.295000000000002</c:v>
                </c:pt>
                <c:pt idx="48">
                  <c:v>46.91</c:v>
                </c:pt>
                <c:pt idx="49">
                  <c:v>43.295999999999999</c:v>
                </c:pt>
                <c:pt idx="50">
                  <c:v>63.872</c:v>
                </c:pt>
                <c:pt idx="51">
                  <c:v>46.776000000000003</c:v>
                </c:pt>
                <c:pt idx="52">
                  <c:v>55.59</c:v>
                </c:pt>
                <c:pt idx="53">
                  <c:v>37.988</c:v>
                </c:pt>
                <c:pt idx="54">
                  <c:v>60.011000000000003</c:v>
                </c:pt>
                <c:pt idx="55">
                  <c:v>47.072000000000003</c:v>
                </c:pt>
                <c:pt idx="56">
                  <c:v>44.942</c:v>
                </c:pt>
                <c:pt idx="57">
                  <c:v>60.793999999999997</c:v>
                </c:pt>
                <c:pt idx="58">
                  <c:v>68.028000000000006</c:v>
                </c:pt>
                <c:pt idx="59">
                  <c:v>51.345999999999997</c:v>
                </c:pt>
                <c:pt idx="60">
                  <c:v>52.709000000000003</c:v>
                </c:pt>
                <c:pt idx="61">
                  <c:v>46.548999999999999</c:v>
                </c:pt>
                <c:pt idx="62">
                  <c:v>42.485999999999997</c:v>
                </c:pt>
                <c:pt idx="63">
                  <c:v>68.287999999999997</c:v>
                </c:pt>
                <c:pt idx="64">
                  <c:v>45.484000000000002</c:v>
                </c:pt>
                <c:pt idx="65">
                  <c:v>57.845999999999997</c:v>
                </c:pt>
                <c:pt idx="66">
                  <c:v>51.088000000000001</c:v>
                </c:pt>
                <c:pt idx="67">
                  <c:v>44.006</c:v>
                </c:pt>
                <c:pt idx="68">
                  <c:v>48.89</c:v>
                </c:pt>
                <c:pt idx="69">
                  <c:v>39.277000000000001</c:v>
                </c:pt>
                <c:pt idx="70">
                  <c:v>67.497</c:v>
                </c:pt>
                <c:pt idx="71">
                  <c:v>43.427999999999997</c:v>
                </c:pt>
                <c:pt idx="72">
                  <c:v>40.386000000000003</c:v>
                </c:pt>
                <c:pt idx="73">
                  <c:v>43.491</c:v>
                </c:pt>
                <c:pt idx="74">
                  <c:v>60.176000000000002</c:v>
                </c:pt>
                <c:pt idx="75">
                  <c:v>32.423999999999999</c:v>
                </c:pt>
                <c:pt idx="76">
                  <c:v>33.119999999999997</c:v>
                </c:pt>
                <c:pt idx="77">
                  <c:v>39.293999999999997</c:v>
                </c:pt>
                <c:pt idx="78">
                  <c:v>64.832999999999998</c:v>
                </c:pt>
                <c:pt idx="79">
                  <c:v>60.173000000000002</c:v>
                </c:pt>
                <c:pt idx="80">
                  <c:v>50.902000000000001</c:v>
                </c:pt>
                <c:pt idx="81">
                  <c:v>49.844999999999999</c:v>
                </c:pt>
                <c:pt idx="82">
                  <c:v>66.686000000000007</c:v>
                </c:pt>
                <c:pt idx="83">
                  <c:v>40.008000000000003</c:v>
                </c:pt>
                <c:pt idx="84">
                  <c:v>67.061000000000007</c:v>
                </c:pt>
                <c:pt idx="85">
                  <c:v>53.335999999999999</c:v>
                </c:pt>
                <c:pt idx="86">
                  <c:v>47.822000000000003</c:v>
                </c:pt>
                <c:pt idx="87">
                  <c:v>61.747</c:v>
                </c:pt>
                <c:pt idx="88">
                  <c:v>42.869</c:v>
                </c:pt>
                <c:pt idx="89">
                  <c:v>42.344000000000001</c:v>
                </c:pt>
                <c:pt idx="90">
                  <c:v>59.371000000000002</c:v>
                </c:pt>
                <c:pt idx="91">
                  <c:v>32.15</c:v>
                </c:pt>
                <c:pt idx="92">
                  <c:v>39.698999999999998</c:v>
                </c:pt>
                <c:pt idx="93">
                  <c:v>36.901000000000003</c:v>
                </c:pt>
                <c:pt idx="94">
                  <c:v>71.385000000000005</c:v>
                </c:pt>
                <c:pt idx="95">
                  <c:v>67.516000000000005</c:v>
                </c:pt>
                <c:pt idx="96">
                  <c:v>43.198</c:v>
                </c:pt>
                <c:pt idx="97">
                  <c:v>34.25</c:v>
                </c:pt>
                <c:pt idx="98">
                  <c:v>33.472999999999999</c:v>
                </c:pt>
                <c:pt idx="99">
                  <c:v>59.02</c:v>
                </c:pt>
                <c:pt idx="100">
                  <c:v>47.472000000000001</c:v>
                </c:pt>
                <c:pt idx="101">
                  <c:v>39.877000000000002</c:v>
                </c:pt>
                <c:pt idx="102">
                  <c:v>63.167999999999999</c:v>
                </c:pt>
                <c:pt idx="103">
                  <c:v>74.864000000000004</c:v>
                </c:pt>
                <c:pt idx="104">
                  <c:v>36.148000000000003</c:v>
                </c:pt>
                <c:pt idx="105">
                  <c:v>66.774000000000001</c:v>
                </c:pt>
                <c:pt idx="106">
                  <c:v>51.238999999999997</c:v>
                </c:pt>
                <c:pt idx="107">
                  <c:v>41.744</c:v>
                </c:pt>
                <c:pt idx="108">
                  <c:v>44.83</c:v>
                </c:pt>
                <c:pt idx="109">
                  <c:v>41.142000000000003</c:v>
                </c:pt>
                <c:pt idx="110">
                  <c:v>62.674999999999997</c:v>
                </c:pt>
                <c:pt idx="111">
                  <c:v>67.116</c:v>
                </c:pt>
                <c:pt idx="112">
                  <c:v>53.234999999999999</c:v>
                </c:pt>
                <c:pt idx="113">
                  <c:v>48.463000000000001</c:v>
                </c:pt>
                <c:pt idx="114">
                  <c:v>46.122</c:v>
                </c:pt>
                <c:pt idx="115">
                  <c:v>44.142000000000003</c:v>
                </c:pt>
                <c:pt idx="116">
                  <c:v>59.186999999999998</c:v>
                </c:pt>
              </c:numCache>
            </c:numRef>
          </c:xVal>
          <c:yVal>
            <c:numRef>
              <c:f>'02'!$C$6:$C$5005</c:f>
              <c:numCache>
                <c:formatCode>0.0000</c:formatCode>
                <c:ptCount val="5000"/>
                <c:pt idx="0">
                  <c:v>0.22331300000000001</c:v>
                </c:pt>
                <c:pt idx="1">
                  <c:v>0.200187</c:v>
                </c:pt>
                <c:pt idx="2">
                  <c:v>0.186751</c:v>
                </c:pt>
                <c:pt idx="3">
                  <c:v>0.210284</c:v>
                </c:pt>
                <c:pt idx="4">
                  <c:v>0.200184</c:v>
                </c:pt>
                <c:pt idx="5">
                  <c:v>0.210318</c:v>
                </c:pt>
                <c:pt idx="6">
                  <c:v>0.21018800000000001</c:v>
                </c:pt>
                <c:pt idx="7">
                  <c:v>0.14307800000000001</c:v>
                </c:pt>
                <c:pt idx="8">
                  <c:v>0.242255</c:v>
                </c:pt>
                <c:pt idx="9">
                  <c:v>0.17874599999999999</c:v>
                </c:pt>
                <c:pt idx="10">
                  <c:v>0.18637899999999999</c:v>
                </c:pt>
                <c:pt idx="11">
                  <c:v>0.15923000000000001</c:v>
                </c:pt>
                <c:pt idx="12">
                  <c:v>0.14305799999999999</c:v>
                </c:pt>
                <c:pt idx="13">
                  <c:v>0.119796</c:v>
                </c:pt>
                <c:pt idx="14">
                  <c:v>0.15921199999999999</c:v>
                </c:pt>
                <c:pt idx="15">
                  <c:v>0.14305499999999999</c:v>
                </c:pt>
                <c:pt idx="16">
                  <c:v>0.24890699999999999</c:v>
                </c:pt>
                <c:pt idx="17">
                  <c:v>0.208817</c:v>
                </c:pt>
                <c:pt idx="18">
                  <c:v>0.14305300000000001</c:v>
                </c:pt>
                <c:pt idx="19">
                  <c:v>0.14305799999999999</c:v>
                </c:pt>
                <c:pt idx="20">
                  <c:v>0.15923599999999999</c:v>
                </c:pt>
                <c:pt idx="21">
                  <c:v>0.20594699999999999</c:v>
                </c:pt>
                <c:pt idx="22">
                  <c:v>0.18676000000000001</c:v>
                </c:pt>
                <c:pt idx="23">
                  <c:v>0.210283</c:v>
                </c:pt>
                <c:pt idx="24">
                  <c:v>0.248915</c:v>
                </c:pt>
                <c:pt idx="25">
                  <c:v>0.186751</c:v>
                </c:pt>
                <c:pt idx="26">
                  <c:v>0.16745399999999999</c:v>
                </c:pt>
                <c:pt idx="27">
                  <c:v>0.20019000000000001</c:v>
                </c:pt>
                <c:pt idx="28">
                  <c:v>0.119795</c:v>
                </c:pt>
                <c:pt idx="29">
                  <c:v>0.186751</c:v>
                </c:pt>
                <c:pt idx="30">
                  <c:v>0.18675</c:v>
                </c:pt>
                <c:pt idx="31">
                  <c:v>0.210284</c:v>
                </c:pt>
                <c:pt idx="32">
                  <c:v>0.20018900000000001</c:v>
                </c:pt>
                <c:pt idx="33">
                  <c:v>0.20018900000000001</c:v>
                </c:pt>
                <c:pt idx="34">
                  <c:v>0.21018899999999999</c:v>
                </c:pt>
                <c:pt idx="35">
                  <c:v>0.172877</c:v>
                </c:pt>
                <c:pt idx="36">
                  <c:v>0.200206</c:v>
                </c:pt>
                <c:pt idx="37">
                  <c:v>0.119795</c:v>
                </c:pt>
                <c:pt idx="38">
                  <c:v>0.186972</c:v>
                </c:pt>
                <c:pt idx="39">
                  <c:v>0.15923499999999999</c:v>
                </c:pt>
                <c:pt idx="40">
                  <c:v>0.21030799999999999</c:v>
                </c:pt>
                <c:pt idx="41">
                  <c:v>0.157661</c:v>
                </c:pt>
                <c:pt idx="42">
                  <c:v>0.19303200000000001</c:v>
                </c:pt>
                <c:pt idx="43">
                  <c:v>0.21030199999999999</c:v>
                </c:pt>
                <c:pt idx="44">
                  <c:v>0.22641900000000001</c:v>
                </c:pt>
                <c:pt idx="45">
                  <c:v>0.14306099999999999</c:v>
                </c:pt>
                <c:pt idx="46">
                  <c:v>0.18670500000000001</c:v>
                </c:pt>
                <c:pt idx="47">
                  <c:v>0.22217500000000001</c:v>
                </c:pt>
                <c:pt idx="48">
                  <c:v>0.20019600000000001</c:v>
                </c:pt>
                <c:pt idx="49">
                  <c:v>0.200188</c:v>
                </c:pt>
                <c:pt idx="50">
                  <c:v>0.14666499999999999</c:v>
                </c:pt>
                <c:pt idx="51">
                  <c:v>0.200184</c:v>
                </c:pt>
                <c:pt idx="52">
                  <c:v>0.172877</c:v>
                </c:pt>
                <c:pt idx="53">
                  <c:v>0.210283</c:v>
                </c:pt>
                <c:pt idx="54">
                  <c:v>0.226577</c:v>
                </c:pt>
                <c:pt idx="55">
                  <c:v>0.20019000000000001</c:v>
                </c:pt>
                <c:pt idx="56">
                  <c:v>0.20018900000000001</c:v>
                </c:pt>
                <c:pt idx="57">
                  <c:v>2.0400000000000001E-3</c:v>
                </c:pt>
                <c:pt idx="58">
                  <c:v>0.119795</c:v>
                </c:pt>
                <c:pt idx="59">
                  <c:v>0.18675</c:v>
                </c:pt>
                <c:pt idx="60">
                  <c:v>0.186746</c:v>
                </c:pt>
                <c:pt idx="61">
                  <c:v>0.200185</c:v>
                </c:pt>
                <c:pt idx="62">
                  <c:v>0.24890599999999999</c:v>
                </c:pt>
                <c:pt idx="63">
                  <c:v>0.243253</c:v>
                </c:pt>
                <c:pt idx="64">
                  <c:v>0.20014999999999999</c:v>
                </c:pt>
                <c:pt idx="65">
                  <c:v>0.17863599999999999</c:v>
                </c:pt>
                <c:pt idx="66">
                  <c:v>0.187083</c:v>
                </c:pt>
                <c:pt idx="67">
                  <c:v>4.7050000000000002E-2</c:v>
                </c:pt>
                <c:pt idx="68">
                  <c:v>0.18784400000000001</c:v>
                </c:pt>
                <c:pt idx="69">
                  <c:v>0.210283</c:v>
                </c:pt>
                <c:pt idx="70">
                  <c:v>0.18214</c:v>
                </c:pt>
                <c:pt idx="71">
                  <c:v>0.200188</c:v>
                </c:pt>
                <c:pt idx="72">
                  <c:v>0.210283</c:v>
                </c:pt>
                <c:pt idx="73">
                  <c:v>0.243921</c:v>
                </c:pt>
                <c:pt idx="74">
                  <c:v>0.24889600000000001</c:v>
                </c:pt>
                <c:pt idx="75">
                  <c:v>0.21033299999999999</c:v>
                </c:pt>
                <c:pt idx="76">
                  <c:v>0.246036</c:v>
                </c:pt>
                <c:pt idx="77">
                  <c:v>0.210314</c:v>
                </c:pt>
                <c:pt idx="78">
                  <c:v>0.110607</c:v>
                </c:pt>
                <c:pt idx="79">
                  <c:v>0.21395500000000001</c:v>
                </c:pt>
                <c:pt idx="80">
                  <c:v>0.18671199999999999</c:v>
                </c:pt>
                <c:pt idx="81">
                  <c:v>0.145953</c:v>
                </c:pt>
                <c:pt idx="82">
                  <c:v>0.14305599999999999</c:v>
                </c:pt>
                <c:pt idx="83">
                  <c:v>0.21029200000000001</c:v>
                </c:pt>
                <c:pt idx="84">
                  <c:v>0.111078</c:v>
                </c:pt>
                <c:pt idx="85">
                  <c:v>0.172876</c:v>
                </c:pt>
                <c:pt idx="86">
                  <c:v>0.18675</c:v>
                </c:pt>
                <c:pt idx="87">
                  <c:v>0.158776</c:v>
                </c:pt>
                <c:pt idx="88">
                  <c:v>0.200188</c:v>
                </c:pt>
                <c:pt idx="89">
                  <c:v>0.196911</c:v>
                </c:pt>
                <c:pt idx="90">
                  <c:v>0.16717799999999999</c:v>
                </c:pt>
                <c:pt idx="91">
                  <c:v>0.210261</c:v>
                </c:pt>
                <c:pt idx="92">
                  <c:v>0.23621900000000001</c:v>
                </c:pt>
                <c:pt idx="93">
                  <c:v>0.210396</c:v>
                </c:pt>
                <c:pt idx="94">
                  <c:v>0.16609399999999999</c:v>
                </c:pt>
                <c:pt idx="95">
                  <c:v>0.14305699999999999</c:v>
                </c:pt>
                <c:pt idx="96">
                  <c:v>0.20018900000000001</c:v>
                </c:pt>
                <c:pt idx="97">
                  <c:v>0.210421</c:v>
                </c:pt>
                <c:pt idx="98">
                  <c:v>0.21032300000000001</c:v>
                </c:pt>
                <c:pt idx="99">
                  <c:v>0.15923499999999999</c:v>
                </c:pt>
                <c:pt idx="100">
                  <c:v>0.238066</c:v>
                </c:pt>
                <c:pt idx="101">
                  <c:v>0.210284</c:v>
                </c:pt>
                <c:pt idx="102">
                  <c:v>0.15923499999999999</c:v>
                </c:pt>
                <c:pt idx="103">
                  <c:v>0.102991</c:v>
                </c:pt>
                <c:pt idx="104">
                  <c:v>0.210315</c:v>
                </c:pt>
                <c:pt idx="105">
                  <c:v>0.14305899999999999</c:v>
                </c:pt>
                <c:pt idx="106">
                  <c:v>0.24887899999999999</c:v>
                </c:pt>
                <c:pt idx="107">
                  <c:v>0.210285</c:v>
                </c:pt>
                <c:pt idx="108">
                  <c:v>0.218447</c:v>
                </c:pt>
                <c:pt idx="109">
                  <c:v>0.21027399999999999</c:v>
                </c:pt>
                <c:pt idx="110">
                  <c:v>0.15923399999999999</c:v>
                </c:pt>
                <c:pt idx="111">
                  <c:v>0.14305799999999999</c:v>
                </c:pt>
                <c:pt idx="112">
                  <c:v>0.172877</c:v>
                </c:pt>
                <c:pt idx="113">
                  <c:v>0.232045</c:v>
                </c:pt>
                <c:pt idx="114">
                  <c:v>0.200188</c:v>
                </c:pt>
                <c:pt idx="115">
                  <c:v>0.200188</c:v>
                </c:pt>
                <c:pt idx="116">
                  <c:v>0.19278500000000001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70-4796-9BD3-0C531B10C517}"/>
            </c:ext>
          </c:extLst>
        </c:ser>
        <c:ser>
          <c:idx val="2"/>
          <c:order val="1"/>
          <c:tx>
            <c:strRef>
              <c:f>'02'!$J$4:$L$4</c:f>
              <c:strCache>
                <c:ptCount val="1"/>
                <c:pt idx="0">
                  <c:v>Median Returns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20"/>
            <c:spPr>
              <a:solidFill>
                <a:srgbClr val="E75300">
                  <a:alpha val="74902"/>
                </a:srgbClr>
              </a:solidFill>
              <a:ln>
                <a:solidFill>
                  <a:schemeClr val="bg1">
                    <a:alpha val="50000"/>
                  </a:schemeClr>
                </a:solidFill>
              </a:ln>
            </c:spPr>
          </c:marker>
          <c:xVal>
            <c:numRef>
              <c:f>'02'!$K$6:$K$10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'02'!$L$6:$L$10</c:f>
              <c:numCache>
                <c:formatCode>0.0%</c:formatCode>
                <c:ptCount val="5"/>
                <c:pt idx="0">
                  <c:v>0.21033299999999999</c:v>
                </c:pt>
                <c:pt idx="1">
                  <c:v>0.210283</c:v>
                </c:pt>
                <c:pt idx="2">
                  <c:v>0.190438</c:v>
                </c:pt>
                <c:pt idx="3">
                  <c:v>0.15923499999999999</c:v>
                </c:pt>
                <c:pt idx="4">
                  <c:v>0.14305799999999999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70-4796-9BD3-0C531B10C517}"/>
            </c:ext>
          </c:extLst>
        </c:ser>
        <c:ser>
          <c:idx val="1"/>
          <c:order val="2"/>
          <c:tx>
            <c:strRef>
              <c:f>'02'!$E$4:$H$4</c:f>
              <c:strCache>
                <c:ptCount val="1"/>
                <c:pt idx="0">
                  <c:v>Benchmark Returns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24"/>
            <c:spPr>
              <a:solidFill>
                <a:srgbClr val="3C8A2E">
                  <a:alpha val="75000"/>
                </a:srgbClr>
              </a:solidFill>
              <a:ln>
                <a:solidFill>
                  <a:schemeClr val="bg1">
                    <a:alpha val="50000"/>
                  </a:schemeClr>
                </a:solidFill>
              </a:ln>
            </c:spPr>
          </c:marker>
          <c:dLbls>
            <c:dLbl>
              <c:idx val="0"/>
              <c:tx>
                <c:strRef>
                  <c:f>'02'!$E$6</c:f>
                  <c:strCache>
                    <c:ptCount val="1"/>
                    <c:pt idx="0">
                      <c:v>IN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{E2C79FF3-92BD-4CBB-80B6-E54EBE432833}</c15:txfldGUID>
                      <c15:f>'02'!$E$6</c15:f>
                      <c15:dlblFieldTableCache>
                        <c:ptCount val="1"/>
                        <c:pt idx="0">
                          <c:v>IN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9670-4796-9BD3-0C531B10C517}"/>
                </c:ext>
              </c:extLst>
            </c:dLbl>
            <c:dLbl>
              <c:idx val="1"/>
              <c:tx>
                <c:strRef>
                  <c:f>'02'!$E$7</c:f>
                  <c:strCache>
                    <c:ptCount val="1"/>
                    <c:pt idx="0">
                      <c:v>10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{24EF6DE6-7ED4-4243-8B92-2D3A429532B8}</c15:txfldGUID>
                      <c15:f>'02'!$E$7</c15:f>
                      <c15:dlblFieldTableCache>
                        <c:ptCount val="1"/>
                        <c:pt idx="0">
                          <c:v>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9670-4796-9BD3-0C531B10C517}"/>
                </c:ext>
              </c:extLst>
            </c:dLbl>
            <c:dLbl>
              <c:idx val="2"/>
              <c:tx>
                <c:strRef>
                  <c:f>'02'!$E$8</c:f>
                  <c:strCache>
                    <c:ptCount val="1"/>
                    <c:pt idx="0">
                      <c:v>15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{36A7083F-362E-4863-93D4-10B4C452D2C7}</c15:txfldGUID>
                      <c15:f>'02'!$E$8</c15:f>
                      <c15:dlblFieldTableCache>
                        <c:ptCount val="1"/>
                        <c:pt idx="0">
                          <c:v>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9670-4796-9BD3-0C531B10C517}"/>
                </c:ext>
              </c:extLst>
            </c:dLbl>
            <c:dLbl>
              <c:idx val="3"/>
              <c:tx>
                <c:strRef>
                  <c:f>'02'!$E$9</c:f>
                  <c:strCache>
                    <c:ptCount val="1"/>
                    <c:pt idx="0">
                      <c:v>20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{7F3B3FF6-EDA5-4FE5-B224-4368D56BC178}</c15:txfldGUID>
                      <c15:f>'02'!$E$9</c15:f>
                      <c15:dlblFieldTableCache>
                        <c:ptCount val="1"/>
                        <c:pt idx="0">
                          <c:v>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9670-4796-9BD3-0C531B10C517}"/>
                </c:ext>
              </c:extLst>
            </c:dLbl>
            <c:dLbl>
              <c:idx val="4"/>
              <c:tx>
                <c:strRef>
                  <c:f>'02'!$E$10</c:f>
                  <c:strCache>
                    <c:ptCount val="1"/>
                    <c:pt idx="0">
                      <c:v>25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{03469F4F-08AA-4A7C-918B-87B01013075A}</c15:txfldGUID>
                      <c15:f>'02'!$E$10</c15:f>
                      <c15:dlblFieldTableCache>
                        <c:ptCount val="1"/>
                        <c:pt idx="0">
                          <c:v>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9670-4796-9BD3-0C531B10C517}"/>
                </c:ext>
              </c:extLst>
            </c:dLbl>
            <c:dLbl>
              <c:idx val="5"/>
              <c:tx>
                <c:strRef>
                  <c:f>'02'!$E$11</c:f>
                  <c:strCache>
                    <c:ptCount val="1"/>
                    <c:pt idx="0">
                      <c:v>30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{1B381892-4AB9-43C4-8D8F-42F8FB2B8BB3}</c15:txfldGUID>
                      <c15:f>'02'!$E$11</c15:f>
                      <c15:dlblFieldTableCache>
                        <c:ptCount val="1"/>
                        <c:pt idx="0">
                          <c:v>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9670-4796-9BD3-0C531B10C517}"/>
                </c:ext>
              </c:extLst>
            </c:dLbl>
            <c:dLbl>
              <c:idx val="6"/>
              <c:tx>
                <c:strRef>
                  <c:f>'02'!$E$12</c:f>
                  <c:strCache>
                    <c:ptCount val="1"/>
                    <c:pt idx="0">
                      <c:v>35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{9B87A0DE-5E2D-4FC5-9038-3A2673C14C11}</c15:txfldGUID>
                      <c15:f>'02'!$E$12</c15:f>
                      <c15:dlblFieldTableCache>
                        <c:ptCount val="1"/>
                        <c:pt idx="0">
                          <c:v>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9670-4796-9BD3-0C531B10C517}"/>
                </c:ext>
              </c:extLst>
            </c:dLbl>
            <c:dLbl>
              <c:idx val="7"/>
              <c:tx>
                <c:strRef>
                  <c:f>'02'!$E$13</c:f>
                  <c:strCache>
                    <c:ptCount val="1"/>
                    <c:pt idx="0">
                      <c:v>40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{B3FCA375-7B53-4C8E-8AA9-F395A5EEDC37}</c15:txfldGUID>
                      <c15:f>'02'!$E$13</c15:f>
                      <c15:dlblFieldTableCache>
                        <c:ptCount val="1"/>
                        <c:pt idx="0">
                          <c:v>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9670-4796-9BD3-0C531B10C517}"/>
                </c:ext>
              </c:extLst>
            </c:dLbl>
            <c:dLbl>
              <c:idx val="8"/>
              <c:tx>
                <c:strRef>
                  <c:f>'02'!$E$14</c:f>
                  <c:strCache>
                    <c:ptCount val="1"/>
                    <c:pt idx="0">
                      <c:v>45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{EC087D63-B532-43F5-8816-ED8F56A1206C}</c15:txfldGUID>
                      <c15:f>'02'!$E$14</c15:f>
                      <c15:dlblFieldTableCache>
                        <c:ptCount val="1"/>
                        <c:pt idx="0">
                          <c:v>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9670-4796-9BD3-0C531B10C517}"/>
                </c:ext>
              </c:extLst>
            </c:dLbl>
            <c:dLbl>
              <c:idx val="9"/>
              <c:tx>
                <c:strRef>
                  <c:f>'02'!$E$15</c:f>
                  <c:strCache>
                    <c:ptCount val="1"/>
                    <c:pt idx="0">
                      <c:v>50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{77940CB8-FC2A-4039-BB2C-3E8F96A1C654}</c15:txfldGUID>
                      <c15:f>'02'!$E$15</c15:f>
                      <c15:dlblFieldTableCache>
                        <c:ptCount val="1"/>
                        <c:pt idx="0">
                          <c:v>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9670-4796-9BD3-0C531B10C517}"/>
                </c:ext>
              </c:extLst>
            </c:dLbl>
            <c:dLbl>
              <c:idx val="10"/>
              <c:tx>
                <c:strRef>
                  <c:f>'02'!$E$16</c:f>
                  <c:strCache>
                    <c:ptCount val="1"/>
                    <c:pt idx="0">
                      <c:v>55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{49C7438C-6CF3-44DA-99BF-560E6A1A5038}</c15:txfldGUID>
                      <c15:f>'02'!$E$16</c15:f>
                      <c15:dlblFieldTableCache>
                        <c:ptCount val="1"/>
                        <c:pt idx="0">
                          <c:v>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9670-4796-9BD3-0C531B10C517}"/>
                </c:ext>
              </c:extLst>
            </c:dLbl>
            <c:dLbl>
              <c:idx val="11"/>
              <c:tx>
                <c:strRef>
                  <c:f>'02'!$E$17</c:f>
                  <c:strCache>
                    <c:ptCount val="1"/>
                    <c:pt idx="0">
                      <c:v>60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{177F940A-79A3-48B6-9A58-B5B89713C4D3}</c15:txfldGUID>
                      <c15:f>'02'!$E$17</c15:f>
                      <c15:dlblFieldTableCache>
                        <c:ptCount val="1"/>
                        <c:pt idx="0">
                          <c:v>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9670-4796-9BD3-0C531B10C517}"/>
                </c:ext>
              </c:extLst>
            </c:dLbl>
            <c:dLbl>
              <c:idx val="12"/>
              <c:tx>
                <c:strRef>
                  <c:f>'02'!$E$18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{ABD40A00-C1F7-4134-813C-D990478A7309}</c15:txfldGUID>
                      <c15:f>'02'!$E$18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9670-4796-9BD3-0C531B10C517}"/>
                </c:ext>
              </c:extLst>
            </c:dLbl>
            <c:dLbl>
              <c:idx val="13"/>
              <c:tx>
                <c:strRef>
                  <c:f>'02'!$E$19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{6E37D07A-CAB8-4E0E-87AC-D3B47B1F02C7}</c15:txfldGUID>
                      <c15:f>'02'!$E$19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9670-4796-9BD3-0C531B10C517}"/>
                </c:ext>
              </c:extLst>
            </c:dLbl>
            <c:dLbl>
              <c:idx val="14"/>
              <c:tx>
                <c:strRef>
                  <c:f>'02'!$E$20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{EE241631-E0DB-4A74-A6C5-D60A3F8122E1}</c15:txfldGUID>
                      <c15:f>'02'!$E$20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9670-4796-9BD3-0C531B10C517}"/>
                </c:ext>
              </c:extLst>
            </c:dLbl>
            <c:dLbl>
              <c:idx val="15"/>
              <c:tx>
                <c:strRef>
                  <c:f>'02'!$E$21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{7AAA8BBA-1CFF-459D-9850-61FB24F1EA37}</c15:txfldGUID>
                      <c15:f>'02'!$E$21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9670-4796-9BD3-0C531B10C5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'02'!$G$6:$G$21</c:f>
              <c:numCache>
                <c:formatCode>0.0</c:formatCode>
                <c:ptCount val="16"/>
                <c:pt idx="0">
                  <c:v>90.249628671362174</c:v>
                </c:pt>
                <c:pt idx="1">
                  <c:v>80.24805437483316</c:v>
                </c:pt>
                <c:pt idx="2">
                  <c:v>75.24863618007214</c:v>
                </c:pt>
                <c:pt idx="3">
                  <c:v>70.246480078304145</c:v>
                </c:pt>
                <c:pt idx="4">
                  <c:v>65.247061883543125</c:v>
                </c:pt>
                <c:pt idx="5">
                  <c:v>60.247643688782112</c:v>
                </c:pt>
                <c:pt idx="6">
                  <c:v>55.248225494021092</c:v>
                </c:pt>
                <c:pt idx="7">
                  <c:v>50.246069392253091</c:v>
                </c:pt>
                <c:pt idx="8">
                  <c:v>45.246651197492078</c:v>
                </c:pt>
                <c:pt idx="9">
                  <c:v>40.247233002731065</c:v>
                </c:pt>
                <c:pt idx="10">
                  <c:v>35.247814807970045</c:v>
                </c:pt>
                <c:pt idx="11">
                  <c:v>30.245658706202043</c:v>
                </c:pt>
              </c:numCache>
            </c:numRef>
          </c:xVal>
          <c:yVal>
            <c:numRef>
              <c:f>'02'!$H$6:$H$21</c:f>
              <c:numCache>
                <c:formatCode>0.0000</c:formatCode>
                <c:ptCount val="16"/>
                <c:pt idx="0">
                  <c:v>8.2799999999999999E-2</c:v>
                </c:pt>
                <c:pt idx="1">
                  <c:v>9.7900000000000001E-2</c:v>
                </c:pt>
                <c:pt idx="2">
                  <c:v>0.1144</c:v>
                </c:pt>
                <c:pt idx="3">
                  <c:v>0.13109999999999999</c:v>
                </c:pt>
                <c:pt idx="4">
                  <c:v>0.14499999999999999</c:v>
                </c:pt>
                <c:pt idx="5">
                  <c:v>0.1578</c:v>
                </c:pt>
                <c:pt idx="6">
                  <c:v>0.1804</c:v>
                </c:pt>
                <c:pt idx="7">
                  <c:v>0.20749999999999999</c:v>
                </c:pt>
                <c:pt idx="8">
                  <c:v>0.2175</c:v>
                </c:pt>
                <c:pt idx="9">
                  <c:v>0.21729999999999999</c:v>
                </c:pt>
                <c:pt idx="10">
                  <c:v>0.217</c:v>
                </c:pt>
                <c:pt idx="11">
                  <c:v>0.2172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670-4796-9BD3-0C531B10C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61472"/>
        <c:axId val="119963008"/>
      </c:scatterChart>
      <c:valAx>
        <c:axId val="119961472"/>
        <c:scaling>
          <c:orientation val="minMax"/>
          <c:max val="75"/>
          <c:min val="25"/>
        </c:scaling>
        <c:delete val="0"/>
        <c:axPos val="b"/>
        <c:numFmt formatCode="0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119963008"/>
        <c:crossesAt val="-100"/>
        <c:crossBetween val="midCat"/>
        <c:majorUnit val="5"/>
      </c:valAx>
      <c:valAx>
        <c:axId val="119963008"/>
        <c:scaling>
          <c:orientation val="minMax"/>
          <c:max val="0.28000000000000003"/>
          <c:min val="0.08"/>
        </c:scaling>
        <c:delete val="0"/>
        <c:axPos val="l"/>
        <c:numFmt formatCode="0%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119961472"/>
        <c:crosses val="autoZero"/>
        <c:crossBetween val="midCat"/>
        <c:majorUnit val="0.04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951354199004695E-2"/>
          <c:y val="2.1189304461942258E-2"/>
          <c:w val="0.92951638773647915"/>
          <c:h val="0.90918689851268586"/>
        </c:manualLayout>
      </c:layout>
      <c:scatterChart>
        <c:scatterStyle val="lineMarker"/>
        <c:varyColors val="0"/>
        <c:ser>
          <c:idx val="0"/>
          <c:order val="0"/>
          <c:tx>
            <c:strRef>
              <c:f>'04'!$B$4:$C$4</c:f>
              <c:strCache>
                <c:ptCount val="1"/>
                <c:pt idx="0">
                  <c:v>Scatter Series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4"/>
            <c:spPr>
              <a:solidFill>
                <a:schemeClr val="tx1">
                  <a:alpha val="50000"/>
                </a:schemeClr>
              </a:solidFill>
              <a:ln>
                <a:noFill/>
              </a:ln>
            </c:spPr>
          </c:marker>
          <c:xVal>
            <c:numRef>
              <c:f>'04'!$B$6:$B$5005</c:f>
              <c:numCache>
                <c:formatCode>0.0</c:formatCode>
                <c:ptCount val="5000"/>
                <c:pt idx="0">
                  <c:v>0.11600100000000001</c:v>
                </c:pt>
                <c:pt idx="1">
                  <c:v>0.11600199999999999</c:v>
                </c:pt>
                <c:pt idx="2">
                  <c:v>0.116003</c:v>
                </c:pt>
                <c:pt idx="3">
                  <c:v>0.133045</c:v>
                </c:pt>
                <c:pt idx="4">
                  <c:v>0.108056</c:v>
                </c:pt>
                <c:pt idx="5">
                  <c:v>0.10112699999999999</c:v>
                </c:pt>
                <c:pt idx="6">
                  <c:v>7.5448000000000001E-2</c:v>
                </c:pt>
                <c:pt idx="7">
                  <c:v>0.103614</c:v>
                </c:pt>
                <c:pt idx="8">
                  <c:v>0.11600199999999999</c:v>
                </c:pt>
                <c:pt idx="9">
                  <c:v>0.116006</c:v>
                </c:pt>
                <c:pt idx="10">
                  <c:v>0.120362</c:v>
                </c:pt>
                <c:pt idx="11">
                  <c:v>0.11600199999999999</c:v>
                </c:pt>
                <c:pt idx="12">
                  <c:v>9.7251000000000004E-2</c:v>
                </c:pt>
                <c:pt idx="13">
                  <c:v>0.163327</c:v>
                </c:pt>
                <c:pt idx="14">
                  <c:v>0.12121</c:v>
                </c:pt>
                <c:pt idx="15">
                  <c:v>6.5919000000000005E-2</c:v>
                </c:pt>
                <c:pt idx="16">
                  <c:v>0.122763</c:v>
                </c:pt>
                <c:pt idx="17">
                  <c:v>0.14693999999999999</c:v>
                </c:pt>
                <c:pt idx="18">
                  <c:v>9.6410999999999997E-2</c:v>
                </c:pt>
                <c:pt idx="19">
                  <c:v>7.3451000000000002E-2</c:v>
                </c:pt>
                <c:pt idx="20">
                  <c:v>8.8217000000000004E-2</c:v>
                </c:pt>
                <c:pt idx="21">
                  <c:v>9.6273999999999998E-2</c:v>
                </c:pt>
                <c:pt idx="22">
                  <c:v>0.11600199999999999</c:v>
                </c:pt>
                <c:pt idx="23">
                  <c:v>0.120366</c:v>
                </c:pt>
                <c:pt idx="24">
                  <c:v>0.120364</c:v>
                </c:pt>
                <c:pt idx="25">
                  <c:v>0.11475</c:v>
                </c:pt>
                <c:pt idx="26">
                  <c:v>0.12035</c:v>
                </c:pt>
                <c:pt idx="27">
                  <c:v>0.120362</c:v>
                </c:pt>
                <c:pt idx="28">
                  <c:v>0.11600100000000001</c:v>
                </c:pt>
                <c:pt idx="29">
                  <c:v>0.124921</c:v>
                </c:pt>
                <c:pt idx="30">
                  <c:v>0.11736199999999999</c:v>
                </c:pt>
                <c:pt idx="31">
                  <c:v>9.7248000000000001E-2</c:v>
                </c:pt>
                <c:pt idx="32">
                  <c:v>0.120396</c:v>
                </c:pt>
                <c:pt idx="33">
                  <c:v>0.120363</c:v>
                </c:pt>
                <c:pt idx="34">
                  <c:v>0.11600199999999999</c:v>
                </c:pt>
                <c:pt idx="35">
                  <c:v>0.137768</c:v>
                </c:pt>
                <c:pt idx="36">
                  <c:v>8.8216000000000003E-2</c:v>
                </c:pt>
                <c:pt idx="37">
                  <c:v>0.13370499999999999</c:v>
                </c:pt>
                <c:pt idx="38">
                  <c:v>8.8217000000000004E-2</c:v>
                </c:pt>
                <c:pt idx="39">
                  <c:v>8.8220000000000007E-2</c:v>
                </c:pt>
                <c:pt idx="40">
                  <c:v>9.7248000000000001E-2</c:v>
                </c:pt>
                <c:pt idx="41">
                  <c:v>0.10959099999999999</c:v>
                </c:pt>
                <c:pt idx="42">
                  <c:v>9.8684999999999995E-2</c:v>
                </c:pt>
                <c:pt idx="43">
                  <c:v>0.131684</c:v>
                </c:pt>
                <c:pt idx="44">
                  <c:v>0.120362</c:v>
                </c:pt>
                <c:pt idx="45">
                  <c:v>0.113313</c:v>
                </c:pt>
                <c:pt idx="46">
                  <c:v>8.8217000000000004E-2</c:v>
                </c:pt>
                <c:pt idx="47">
                  <c:v>0.120365</c:v>
                </c:pt>
                <c:pt idx="48">
                  <c:v>0.120495</c:v>
                </c:pt>
                <c:pt idx="49">
                  <c:v>0.10959000000000001</c:v>
                </c:pt>
                <c:pt idx="50">
                  <c:v>0.120394</c:v>
                </c:pt>
                <c:pt idx="51">
                  <c:v>9.9876999999999994E-2</c:v>
                </c:pt>
                <c:pt idx="52">
                  <c:v>0.103614</c:v>
                </c:pt>
                <c:pt idx="53">
                  <c:v>9.7248000000000001E-2</c:v>
                </c:pt>
                <c:pt idx="54">
                  <c:v>9.7249000000000002E-2</c:v>
                </c:pt>
                <c:pt idx="55">
                  <c:v>8.8216000000000003E-2</c:v>
                </c:pt>
                <c:pt idx="56">
                  <c:v>0.10959000000000001</c:v>
                </c:pt>
                <c:pt idx="57">
                  <c:v>8.0884999999999999E-2</c:v>
                </c:pt>
                <c:pt idx="58">
                  <c:v>0.11600199999999999</c:v>
                </c:pt>
                <c:pt idx="59">
                  <c:v>0.115983</c:v>
                </c:pt>
                <c:pt idx="60">
                  <c:v>0.120363</c:v>
                </c:pt>
                <c:pt idx="61">
                  <c:v>0.114594</c:v>
                </c:pt>
                <c:pt idx="62">
                  <c:v>0.123128</c:v>
                </c:pt>
                <c:pt idx="63">
                  <c:v>0.11600199999999999</c:v>
                </c:pt>
                <c:pt idx="64">
                  <c:v>8.8208999999999996E-2</c:v>
                </c:pt>
                <c:pt idx="65">
                  <c:v>0.103614</c:v>
                </c:pt>
                <c:pt idx="66">
                  <c:v>0.12044100000000001</c:v>
                </c:pt>
                <c:pt idx="67">
                  <c:v>8.9643E-2</c:v>
                </c:pt>
                <c:pt idx="68">
                  <c:v>0.120355</c:v>
                </c:pt>
                <c:pt idx="69">
                  <c:v>0.115995</c:v>
                </c:pt>
                <c:pt idx="70">
                  <c:v>0.120255</c:v>
                </c:pt>
                <c:pt idx="71">
                  <c:v>0.12039999999999999</c:v>
                </c:pt>
                <c:pt idx="72">
                  <c:v>0.103989</c:v>
                </c:pt>
                <c:pt idx="73">
                  <c:v>0.116003</c:v>
                </c:pt>
                <c:pt idx="74">
                  <c:v>8.8217000000000004E-2</c:v>
                </c:pt>
                <c:pt idx="75">
                  <c:v>0.10959099999999999</c:v>
                </c:pt>
                <c:pt idx="76">
                  <c:v>0.11600199999999999</c:v>
                </c:pt>
                <c:pt idx="77">
                  <c:v>0.120402</c:v>
                </c:pt>
                <c:pt idx="78">
                  <c:v>0.120363</c:v>
                </c:pt>
                <c:pt idx="79">
                  <c:v>0.120491</c:v>
                </c:pt>
                <c:pt idx="80">
                  <c:v>0.11600199999999999</c:v>
                </c:pt>
                <c:pt idx="81">
                  <c:v>0.13963300000000001</c:v>
                </c:pt>
                <c:pt idx="82">
                  <c:v>9.2093999999999995E-2</c:v>
                </c:pt>
                <c:pt idx="83">
                  <c:v>0.10959000000000001</c:v>
                </c:pt>
                <c:pt idx="84">
                  <c:v>0.12826000000000001</c:v>
                </c:pt>
                <c:pt idx="85">
                  <c:v>0.111163</c:v>
                </c:pt>
                <c:pt idx="86">
                  <c:v>7.5447E-2</c:v>
                </c:pt>
                <c:pt idx="87">
                  <c:v>0.133711</c:v>
                </c:pt>
                <c:pt idx="88">
                  <c:v>0.12049</c:v>
                </c:pt>
                <c:pt idx="89">
                  <c:v>0.120495</c:v>
                </c:pt>
                <c:pt idx="90">
                  <c:v>0.109596</c:v>
                </c:pt>
                <c:pt idx="91">
                  <c:v>0.10960300000000001</c:v>
                </c:pt>
                <c:pt idx="92">
                  <c:v>0.11600100000000001</c:v>
                </c:pt>
                <c:pt idx="93">
                  <c:v>0.115684</c:v>
                </c:pt>
                <c:pt idx="94">
                  <c:v>0.103613</c:v>
                </c:pt>
                <c:pt idx="95">
                  <c:v>0.129464</c:v>
                </c:pt>
                <c:pt idx="96">
                  <c:v>0.10959000000000001</c:v>
                </c:pt>
                <c:pt idx="97">
                  <c:v>8.8218000000000005E-2</c:v>
                </c:pt>
                <c:pt idx="98">
                  <c:v>0.16056500000000001</c:v>
                </c:pt>
                <c:pt idx="99">
                  <c:v>0.11600100000000001</c:v>
                </c:pt>
                <c:pt idx="100">
                  <c:v>9.9003999999999995E-2</c:v>
                </c:pt>
                <c:pt idx="101">
                  <c:v>7.5448000000000001E-2</c:v>
                </c:pt>
                <c:pt idx="102">
                  <c:v>1.859E-3</c:v>
                </c:pt>
                <c:pt idx="103">
                  <c:v>0.13370199999999999</c:v>
                </c:pt>
                <c:pt idx="104">
                  <c:v>0.133663</c:v>
                </c:pt>
                <c:pt idx="105">
                  <c:v>0.13370000000000001</c:v>
                </c:pt>
                <c:pt idx="106">
                  <c:v>0.13972599999999999</c:v>
                </c:pt>
                <c:pt idx="107">
                  <c:v>0.109612</c:v>
                </c:pt>
                <c:pt idx="108">
                  <c:v>0.109588</c:v>
                </c:pt>
                <c:pt idx="109">
                  <c:v>7.5449000000000002E-2</c:v>
                </c:pt>
                <c:pt idx="110">
                  <c:v>8.8217000000000004E-2</c:v>
                </c:pt>
                <c:pt idx="111">
                  <c:v>9.7248000000000001E-2</c:v>
                </c:pt>
                <c:pt idx="112">
                  <c:v>0.10959000000000001</c:v>
                </c:pt>
                <c:pt idx="113">
                  <c:v>9.7251000000000004E-2</c:v>
                </c:pt>
                <c:pt idx="114">
                  <c:v>0.11054899999999999</c:v>
                </c:pt>
                <c:pt idx="115">
                  <c:v>0.120255</c:v>
                </c:pt>
                <c:pt idx="116">
                  <c:v>0.13370399999999999</c:v>
                </c:pt>
              </c:numCache>
            </c:numRef>
          </c:xVal>
          <c:yVal>
            <c:numRef>
              <c:f>'04'!$C$6:$C$5005</c:f>
              <c:numCache>
                <c:formatCode>0.0000</c:formatCode>
                <c:ptCount val="5000"/>
                <c:pt idx="0">
                  <c:v>0.20018900000000001</c:v>
                </c:pt>
                <c:pt idx="1">
                  <c:v>0.20019000000000001</c:v>
                </c:pt>
                <c:pt idx="2">
                  <c:v>0.200184</c:v>
                </c:pt>
                <c:pt idx="3">
                  <c:v>0.23621900000000001</c:v>
                </c:pt>
                <c:pt idx="4">
                  <c:v>0.17863599999999999</c:v>
                </c:pt>
                <c:pt idx="5">
                  <c:v>0.16745399999999999</c:v>
                </c:pt>
                <c:pt idx="6">
                  <c:v>0.119795</c:v>
                </c:pt>
                <c:pt idx="7">
                  <c:v>0.172876</c:v>
                </c:pt>
                <c:pt idx="8">
                  <c:v>0.20018900000000001</c:v>
                </c:pt>
                <c:pt idx="9">
                  <c:v>0.200185</c:v>
                </c:pt>
                <c:pt idx="10">
                  <c:v>0.210284</c:v>
                </c:pt>
                <c:pt idx="11">
                  <c:v>0.200188</c:v>
                </c:pt>
                <c:pt idx="12">
                  <c:v>0.15923000000000001</c:v>
                </c:pt>
                <c:pt idx="13">
                  <c:v>0.21395500000000001</c:v>
                </c:pt>
                <c:pt idx="14">
                  <c:v>0.20594699999999999</c:v>
                </c:pt>
                <c:pt idx="15">
                  <c:v>0.102991</c:v>
                </c:pt>
                <c:pt idx="16">
                  <c:v>0.18637899999999999</c:v>
                </c:pt>
                <c:pt idx="17">
                  <c:v>0.232045</c:v>
                </c:pt>
                <c:pt idx="18">
                  <c:v>0.157661</c:v>
                </c:pt>
                <c:pt idx="19">
                  <c:v>0.110607</c:v>
                </c:pt>
                <c:pt idx="20">
                  <c:v>0.14305899999999999</c:v>
                </c:pt>
                <c:pt idx="21">
                  <c:v>0.18214</c:v>
                </c:pt>
                <c:pt idx="22">
                  <c:v>0.200187</c:v>
                </c:pt>
                <c:pt idx="23">
                  <c:v>0.21027399999999999</c:v>
                </c:pt>
                <c:pt idx="24">
                  <c:v>0.210285</c:v>
                </c:pt>
                <c:pt idx="25">
                  <c:v>0.208817</c:v>
                </c:pt>
                <c:pt idx="26">
                  <c:v>0.21030199999999999</c:v>
                </c:pt>
                <c:pt idx="27">
                  <c:v>0.210284</c:v>
                </c:pt>
                <c:pt idx="28">
                  <c:v>0.20019000000000001</c:v>
                </c:pt>
                <c:pt idx="29">
                  <c:v>0.218447</c:v>
                </c:pt>
                <c:pt idx="30">
                  <c:v>0.196911</c:v>
                </c:pt>
                <c:pt idx="31">
                  <c:v>0.15923499999999999</c:v>
                </c:pt>
                <c:pt idx="32">
                  <c:v>0.21033299999999999</c:v>
                </c:pt>
                <c:pt idx="33">
                  <c:v>0.210283</c:v>
                </c:pt>
                <c:pt idx="34">
                  <c:v>0.20018900000000001</c:v>
                </c:pt>
                <c:pt idx="35">
                  <c:v>0.243921</c:v>
                </c:pt>
                <c:pt idx="36">
                  <c:v>0.14305699999999999</c:v>
                </c:pt>
                <c:pt idx="37">
                  <c:v>0.24889600000000001</c:v>
                </c:pt>
                <c:pt idx="38">
                  <c:v>0.14305799999999999</c:v>
                </c:pt>
                <c:pt idx="39">
                  <c:v>0.14305300000000001</c:v>
                </c:pt>
                <c:pt idx="40">
                  <c:v>0.15923399999999999</c:v>
                </c:pt>
                <c:pt idx="41">
                  <c:v>0.18675</c:v>
                </c:pt>
                <c:pt idx="42">
                  <c:v>0.16609399999999999</c:v>
                </c:pt>
                <c:pt idx="43">
                  <c:v>0.246036</c:v>
                </c:pt>
                <c:pt idx="44">
                  <c:v>0.210283</c:v>
                </c:pt>
                <c:pt idx="45">
                  <c:v>0.18784400000000001</c:v>
                </c:pt>
                <c:pt idx="46">
                  <c:v>0.14305799999999999</c:v>
                </c:pt>
                <c:pt idx="47">
                  <c:v>0.210284</c:v>
                </c:pt>
                <c:pt idx="48">
                  <c:v>0.21032300000000001</c:v>
                </c:pt>
                <c:pt idx="49">
                  <c:v>0.18675</c:v>
                </c:pt>
                <c:pt idx="50">
                  <c:v>0.210318</c:v>
                </c:pt>
                <c:pt idx="51">
                  <c:v>2.0400000000000001E-3</c:v>
                </c:pt>
                <c:pt idx="52">
                  <c:v>0.172877</c:v>
                </c:pt>
                <c:pt idx="53">
                  <c:v>0.15923499999999999</c:v>
                </c:pt>
                <c:pt idx="54">
                  <c:v>0.15923499999999999</c:v>
                </c:pt>
                <c:pt idx="55">
                  <c:v>0.14306099999999999</c:v>
                </c:pt>
                <c:pt idx="56">
                  <c:v>0.186751</c:v>
                </c:pt>
                <c:pt idx="57">
                  <c:v>0.111078</c:v>
                </c:pt>
                <c:pt idx="58">
                  <c:v>0.200188</c:v>
                </c:pt>
                <c:pt idx="59">
                  <c:v>0.20014999999999999</c:v>
                </c:pt>
                <c:pt idx="60">
                  <c:v>0.210283</c:v>
                </c:pt>
                <c:pt idx="61">
                  <c:v>0.19278500000000001</c:v>
                </c:pt>
                <c:pt idx="62">
                  <c:v>0.22217500000000001</c:v>
                </c:pt>
                <c:pt idx="63">
                  <c:v>0.200188</c:v>
                </c:pt>
                <c:pt idx="64">
                  <c:v>0.14307800000000001</c:v>
                </c:pt>
                <c:pt idx="65">
                  <c:v>0.172877</c:v>
                </c:pt>
                <c:pt idx="66">
                  <c:v>0.210314</c:v>
                </c:pt>
                <c:pt idx="67">
                  <c:v>0.145953</c:v>
                </c:pt>
                <c:pt idx="68">
                  <c:v>0.21029200000000001</c:v>
                </c:pt>
                <c:pt idx="69">
                  <c:v>0.200206</c:v>
                </c:pt>
                <c:pt idx="70">
                  <c:v>0.21018899999999999</c:v>
                </c:pt>
                <c:pt idx="71">
                  <c:v>0.210261</c:v>
                </c:pt>
                <c:pt idx="72">
                  <c:v>0.158776</c:v>
                </c:pt>
                <c:pt idx="73">
                  <c:v>0.200184</c:v>
                </c:pt>
                <c:pt idx="74">
                  <c:v>0.14305799999999999</c:v>
                </c:pt>
                <c:pt idx="75">
                  <c:v>0.18675</c:v>
                </c:pt>
                <c:pt idx="76">
                  <c:v>0.200188</c:v>
                </c:pt>
                <c:pt idx="77">
                  <c:v>0.210396</c:v>
                </c:pt>
                <c:pt idx="78">
                  <c:v>0.210283</c:v>
                </c:pt>
                <c:pt idx="79">
                  <c:v>0.210421</c:v>
                </c:pt>
                <c:pt idx="80">
                  <c:v>0.200188</c:v>
                </c:pt>
                <c:pt idx="81">
                  <c:v>0.22641900000000001</c:v>
                </c:pt>
                <c:pt idx="82">
                  <c:v>0.14666499999999999</c:v>
                </c:pt>
                <c:pt idx="83">
                  <c:v>0.186751</c:v>
                </c:pt>
                <c:pt idx="84">
                  <c:v>0.238066</c:v>
                </c:pt>
                <c:pt idx="85">
                  <c:v>0.187083</c:v>
                </c:pt>
                <c:pt idx="86">
                  <c:v>0.119795</c:v>
                </c:pt>
                <c:pt idx="87">
                  <c:v>0.24890699999999999</c:v>
                </c:pt>
                <c:pt idx="88">
                  <c:v>0.210315</c:v>
                </c:pt>
                <c:pt idx="89">
                  <c:v>0.21030799999999999</c:v>
                </c:pt>
                <c:pt idx="90">
                  <c:v>0.18671199999999999</c:v>
                </c:pt>
                <c:pt idx="91">
                  <c:v>0.18670500000000001</c:v>
                </c:pt>
                <c:pt idx="92">
                  <c:v>0.20018900000000001</c:v>
                </c:pt>
                <c:pt idx="93">
                  <c:v>0.19303200000000001</c:v>
                </c:pt>
                <c:pt idx="94">
                  <c:v>0.172877</c:v>
                </c:pt>
                <c:pt idx="95">
                  <c:v>0.242255</c:v>
                </c:pt>
                <c:pt idx="96">
                  <c:v>0.186746</c:v>
                </c:pt>
                <c:pt idx="97">
                  <c:v>0.14305599999999999</c:v>
                </c:pt>
                <c:pt idx="98">
                  <c:v>0.22331300000000001</c:v>
                </c:pt>
                <c:pt idx="99">
                  <c:v>0.20019600000000001</c:v>
                </c:pt>
                <c:pt idx="100">
                  <c:v>0.16717799999999999</c:v>
                </c:pt>
                <c:pt idx="101">
                  <c:v>0.119795</c:v>
                </c:pt>
                <c:pt idx="102">
                  <c:v>4.7050000000000002E-2</c:v>
                </c:pt>
                <c:pt idx="103">
                  <c:v>0.24887899999999999</c:v>
                </c:pt>
                <c:pt idx="104">
                  <c:v>0.243253</c:v>
                </c:pt>
                <c:pt idx="105">
                  <c:v>0.248915</c:v>
                </c:pt>
                <c:pt idx="106">
                  <c:v>0.226577</c:v>
                </c:pt>
                <c:pt idx="107">
                  <c:v>0.186972</c:v>
                </c:pt>
                <c:pt idx="108">
                  <c:v>0.18676000000000001</c:v>
                </c:pt>
                <c:pt idx="109">
                  <c:v>0.119796</c:v>
                </c:pt>
                <c:pt idx="110">
                  <c:v>0.14305499999999999</c:v>
                </c:pt>
                <c:pt idx="111">
                  <c:v>0.15923599999999999</c:v>
                </c:pt>
                <c:pt idx="112">
                  <c:v>0.186751</c:v>
                </c:pt>
                <c:pt idx="113">
                  <c:v>0.15921199999999999</c:v>
                </c:pt>
                <c:pt idx="114">
                  <c:v>0.17874599999999999</c:v>
                </c:pt>
                <c:pt idx="115">
                  <c:v>0.21018800000000001</c:v>
                </c:pt>
                <c:pt idx="116">
                  <c:v>0.24890599999999999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70-464E-81BD-4E8A4505B582}"/>
            </c:ext>
          </c:extLst>
        </c:ser>
        <c:ser>
          <c:idx val="1"/>
          <c:order val="1"/>
          <c:tx>
            <c:strRef>
              <c:f>'04'!$E$4:$H$4</c:f>
              <c:strCache>
                <c:ptCount val="1"/>
                <c:pt idx="0">
                  <c:v>Benchmark Returns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9"/>
            <c:spPr>
              <a:solidFill>
                <a:srgbClr val="3C8A2E">
                  <a:alpha val="75000"/>
                </a:srgbClr>
              </a:solidFill>
              <a:ln>
                <a:solidFill>
                  <a:schemeClr val="bg1">
                    <a:alpha val="50000"/>
                  </a:schemeClr>
                </a:solidFill>
              </a:ln>
            </c:spPr>
          </c:marker>
          <c:dLbls>
            <c:dLbl>
              <c:idx val="0"/>
              <c:tx>
                <c:strRef>
                  <c:f>'04'!$E$6</c:f>
                  <c:strCache>
                    <c:ptCount val="1"/>
                    <c:pt idx="0">
                      <c:v>IN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{1B22ACA6-DE2C-4E57-974A-A7458A10D3AB}</c15:txfldGUID>
                      <c15:f>'04'!$E$6</c15:f>
                      <c15:dlblFieldTableCache>
                        <c:ptCount val="1"/>
                        <c:pt idx="0">
                          <c:v>IN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C370-464E-81BD-4E8A4505B582}"/>
                </c:ext>
              </c:extLst>
            </c:dLbl>
            <c:dLbl>
              <c:idx val="1"/>
              <c:tx>
                <c:strRef>
                  <c:f>'04'!$E$7</c:f>
                  <c:strCache>
                    <c:ptCount val="1"/>
                    <c:pt idx="0">
                      <c:v>10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{E53D7F4A-EF36-4058-8D06-19543DB69F78}</c15:txfldGUID>
                      <c15:f>'04'!$E$7</c15:f>
                      <c15:dlblFieldTableCache>
                        <c:ptCount val="1"/>
                        <c:pt idx="0">
                          <c:v>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C370-464E-81BD-4E8A4505B582}"/>
                </c:ext>
              </c:extLst>
            </c:dLbl>
            <c:dLbl>
              <c:idx val="2"/>
              <c:tx>
                <c:strRef>
                  <c:f>'04'!$E$8</c:f>
                  <c:strCache>
                    <c:ptCount val="1"/>
                    <c:pt idx="0">
                      <c:v>15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{EC08F382-7388-45EC-A446-943864C400CB}</c15:txfldGUID>
                      <c15:f>'04'!$E$8</c15:f>
                      <c15:dlblFieldTableCache>
                        <c:ptCount val="1"/>
                        <c:pt idx="0">
                          <c:v>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C370-464E-81BD-4E8A4505B582}"/>
                </c:ext>
              </c:extLst>
            </c:dLbl>
            <c:dLbl>
              <c:idx val="3"/>
              <c:tx>
                <c:strRef>
                  <c:f>'04'!$E$9</c:f>
                  <c:strCache>
                    <c:ptCount val="1"/>
                    <c:pt idx="0">
                      <c:v>20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{6B07AC6E-CE68-4E7A-92DD-6074F761235E}</c15:txfldGUID>
                      <c15:f>'04'!$E$9</c15:f>
                      <c15:dlblFieldTableCache>
                        <c:ptCount val="1"/>
                        <c:pt idx="0">
                          <c:v>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C370-464E-81BD-4E8A4505B582}"/>
                </c:ext>
              </c:extLst>
            </c:dLbl>
            <c:dLbl>
              <c:idx val="4"/>
              <c:tx>
                <c:strRef>
                  <c:f>'04'!$E$10</c:f>
                  <c:strCache>
                    <c:ptCount val="1"/>
                    <c:pt idx="0">
                      <c:v>25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{A699FF33-2470-41D5-9447-6482EEBC1B7A}</c15:txfldGUID>
                      <c15:f>'04'!$E$10</c15:f>
                      <c15:dlblFieldTableCache>
                        <c:ptCount val="1"/>
                        <c:pt idx="0">
                          <c:v>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C370-464E-81BD-4E8A4505B582}"/>
                </c:ext>
              </c:extLst>
            </c:dLbl>
            <c:dLbl>
              <c:idx val="5"/>
              <c:tx>
                <c:strRef>
                  <c:f>'04'!$E$11</c:f>
                  <c:strCache>
                    <c:ptCount val="1"/>
                    <c:pt idx="0">
                      <c:v>30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{D1CE5178-D09C-482A-8AB1-5FB50488A5FA}</c15:txfldGUID>
                      <c15:f>'04'!$E$11</c15:f>
                      <c15:dlblFieldTableCache>
                        <c:ptCount val="1"/>
                        <c:pt idx="0">
                          <c:v>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C370-464E-81BD-4E8A4505B582}"/>
                </c:ext>
              </c:extLst>
            </c:dLbl>
            <c:dLbl>
              <c:idx val="6"/>
              <c:tx>
                <c:strRef>
                  <c:f>'04'!$E$12</c:f>
                  <c:strCache>
                    <c:ptCount val="1"/>
                    <c:pt idx="0">
                      <c:v>35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{15D8A18A-C52E-40ED-BEAA-B1F85E87B449}</c15:txfldGUID>
                      <c15:f>'04'!$E$12</c15:f>
                      <c15:dlblFieldTableCache>
                        <c:ptCount val="1"/>
                        <c:pt idx="0">
                          <c:v>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C370-464E-81BD-4E8A4505B582}"/>
                </c:ext>
              </c:extLst>
            </c:dLbl>
            <c:dLbl>
              <c:idx val="7"/>
              <c:tx>
                <c:strRef>
                  <c:f>'04'!$E$13</c:f>
                  <c:strCache>
                    <c:ptCount val="1"/>
                    <c:pt idx="0">
                      <c:v>40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{526B613E-BDF5-4915-A8C3-E236C00F1170}</c15:txfldGUID>
                      <c15:f>'04'!$E$13</c15:f>
                      <c15:dlblFieldTableCache>
                        <c:ptCount val="1"/>
                        <c:pt idx="0">
                          <c:v>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C370-464E-81BD-4E8A4505B582}"/>
                </c:ext>
              </c:extLst>
            </c:dLbl>
            <c:dLbl>
              <c:idx val="8"/>
              <c:tx>
                <c:strRef>
                  <c:f>'04'!$E$14</c:f>
                  <c:strCache>
                    <c:ptCount val="1"/>
                    <c:pt idx="0">
                      <c:v>45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{67648027-1289-4053-80FC-F1D3E3C457EB}</c15:txfldGUID>
                      <c15:f>'04'!$E$14</c15:f>
                      <c15:dlblFieldTableCache>
                        <c:ptCount val="1"/>
                        <c:pt idx="0">
                          <c:v>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C370-464E-81BD-4E8A4505B582}"/>
                </c:ext>
              </c:extLst>
            </c:dLbl>
            <c:dLbl>
              <c:idx val="9"/>
              <c:tx>
                <c:strRef>
                  <c:f>'04'!$E$15</c:f>
                  <c:strCache>
                    <c:ptCount val="1"/>
                    <c:pt idx="0">
                      <c:v>50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{BB31F590-ED3B-438F-84EB-7B14494D7AC7}</c15:txfldGUID>
                      <c15:f>'04'!$E$15</c15:f>
                      <c15:dlblFieldTableCache>
                        <c:ptCount val="1"/>
                        <c:pt idx="0">
                          <c:v>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C370-464E-81BD-4E8A4505B582}"/>
                </c:ext>
              </c:extLst>
            </c:dLbl>
            <c:dLbl>
              <c:idx val="10"/>
              <c:tx>
                <c:strRef>
                  <c:f>'04'!$E$16</c:f>
                  <c:strCache>
                    <c:ptCount val="1"/>
                    <c:pt idx="0">
                      <c:v>55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{AE1E3563-FEA5-4C8E-82C2-66549CB3BA26}</c15:txfldGUID>
                      <c15:f>'04'!$E$16</c15:f>
                      <c15:dlblFieldTableCache>
                        <c:ptCount val="1"/>
                        <c:pt idx="0">
                          <c:v>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C370-464E-81BD-4E8A4505B582}"/>
                </c:ext>
              </c:extLst>
            </c:dLbl>
            <c:dLbl>
              <c:idx val="11"/>
              <c:tx>
                <c:strRef>
                  <c:f>'04'!$E$17</c:f>
                  <c:strCache>
                    <c:ptCount val="1"/>
                    <c:pt idx="0">
                      <c:v>60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{7C94A5A5-D73F-456F-B577-DE2130301F67}</c15:txfldGUID>
                      <c15:f>'04'!$E$17</c15:f>
                      <c15:dlblFieldTableCache>
                        <c:ptCount val="1"/>
                        <c:pt idx="0">
                          <c:v>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C370-464E-81BD-4E8A4505B582}"/>
                </c:ext>
              </c:extLst>
            </c:dLbl>
            <c:dLbl>
              <c:idx val="12"/>
              <c:tx>
                <c:strRef>
                  <c:f>'04'!$E$18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{E2744B10-5895-4427-93D5-5EB2E8508BBA}</c15:txfldGUID>
                      <c15:f>'04'!$E$18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C370-464E-81BD-4E8A4505B582}"/>
                </c:ext>
              </c:extLst>
            </c:dLbl>
            <c:dLbl>
              <c:idx val="13"/>
              <c:tx>
                <c:strRef>
                  <c:f>'04'!$E$19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{7EB4F890-81DA-4C43-8415-286F01AB9873}</c15:txfldGUID>
                      <c15:f>'04'!$E$19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C370-464E-81BD-4E8A4505B582}"/>
                </c:ext>
              </c:extLst>
            </c:dLbl>
            <c:dLbl>
              <c:idx val="14"/>
              <c:tx>
                <c:strRef>
                  <c:f>'04'!$E$20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{936D6966-A6CB-4463-97FC-2893EC8A417B}</c15:txfldGUID>
                      <c15:f>'04'!$E$20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C370-464E-81BD-4E8A4505B582}"/>
                </c:ext>
              </c:extLst>
            </c:dLbl>
            <c:dLbl>
              <c:idx val="15"/>
              <c:tx>
                <c:strRef>
                  <c:f>'04'!$E$21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{B7156D53-D549-4764-80A9-C33AEE92A3AD}</c15:txfldGUID>
                      <c15:f>'04'!$E$21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C370-464E-81BD-4E8A4505B5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'04'!$G$6:$G$21</c:f>
              <c:numCache>
                <c:formatCode>0%</c:formatCode>
                <c:ptCount val="16"/>
                <c:pt idx="0">
                  <c:v>5.9900000000000002E-2</c:v>
                </c:pt>
                <c:pt idx="1">
                  <c:v>6.9199999999999998E-2</c:v>
                </c:pt>
                <c:pt idx="2">
                  <c:v>7.9699999999999993E-2</c:v>
                </c:pt>
                <c:pt idx="3">
                  <c:v>9.0399999999999994E-2</c:v>
                </c:pt>
                <c:pt idx="4">
                  <c:v>9.8100000000000007E-2</c:v>
                </c:pt>
                <c:pt idx="5">
                  <c:v>0.10349999999999999</c:v>
                </c:pt>
                <c:pt idx="6">
                  <c:v>0.1125</c:v>
                </c:pt>
                <c:pt idx="7">
                  <c:v>0.1245</c:v>
                </c:pt>
                <c:pt idx="8">
                  <c:v>0.1283</c:v>
                </c:pt>
                <c:pt idx="9">
                  <c:v>0.12759999999999999</c:v>
                </c:pt>
                <c:pt idx="10">
                  <c:v>0.12790000000000001</c:v>
                </c:pt>
                <c:pt idx="11">
                  <c:v>0.1278</c:v>
                </c:pt>
              </c:numCache>
            </c:numRef>
          </c:xVal>
          <c:yVal>
            <c:numRef>
              <c:f>'04'!$H$6:$H$21</c:f>
              <c:numCache>
                <c:formatCode>0%</c:formatCode>
                <c:ptCount val="16"/>
                <c:pt idx="0">
                  <c:v>8.2799999999999999E-2</c:v>
                </c:pt>
                <c:pt idx="1">
                  <c:v>9.7900000000000001E-2</c:v>
                </c:pt>
                <c:pt idx="2">
                  <c:v>0.1144</c:v>
                </c:pt>
                <c:pt idx="3">
                  <c:v>0.13109999999999999</c:v>
                </c:pt>
                <c:pt idx="4">
                  <c:v>0.14499999999999999</c:v>
                </c:pt>
                <c:pt idx="5">
                  <c:v>0.1578</c:v>
                </c:pt>
                <c:pt idx="6">
                  <c:v>0.1804</c:v>
                </c:pt>
                <c:pt idx="7">
                  <c:v>0.20749999999999999</c:v>
                </c:pt>
                <c:pt idx="8">
                  <c:v>0.2175</c:v>
                </c:pt>
                <c:pt idx="9">
                  <c:v>0.21729999999999999</c:v>
                </c:pt>
                <c:pt idx="10">
                  <c:v>0.217</c:v>
                </c:pt>
                <c:pt idx="11">
                  <c:v>0.2172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370-464E-81BD-4E8A4505B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29984"/>
        <c:axId val="124752256"/>
      </c:scatterChart>
      <c:valAx>
        <c:axId val="124729984"/>
        <c:scaling>
          <c:orientation val="minMax"/>
          <c:max val="0.15"/>
          <c:min val="0"/>
        </c:scaling>
        <c:delete val="0"/>
        <c:axPos val="b"/>
        <c:numFmt formatCode="0%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124752256"/>
        <c:crossesAt val="-100"/>
        <c:crossBetween val="midCat"/>
        <c:majorUnit val="0.01"/>
      </c:valAx>
      <c:valAx>
        <c:axId val="124752256"/>
        <c:scaling>
          <c:orientation val="minMax"/>
          <c:max val="0.28000000000000003"/>
          <c:min val="0.08"/>
        </c:scaling>
        <c:delete val="0"/>
        <c:axPos val="l"/>
        <c:numFmt formatCode="0%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124729984"/>
        <c:crosses val="autoZero"/>
        <c:crossBetween val="midCat"/>
        <c:majorUnit val="0.04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951354199004695E-2"/>
          <c:y val="2.1189304461942258E-2"/>
          <c:w val="0.92961340181939622"/>
          <c:h val="0.91985236220472444"/>
        </c:manualLayout>
      </c:layout>
      <c:areaChart>
        <c:grouping val="standard"/>
        <c:varyColors val="0"/>
        <c:ser>
          <c:idx val="2"/>
          <c:order val="1"/>
          <c:tx>
            <c:strRef>
              <c:f>'19'!$G$5</c:f>
              <c:strCache>
                <c:ptCount val="1"/>
                <c:pt idx="0">
                  <c:v>Y-Max</c:v>
                </c:pt>
              </c:strCache>
            </c:strRef>
          </c:tx>
          <c:spPr>
            <a:solidFill>
              <a:srgbClr val="3C8A2E"/>
            </a:solidFill>
            <a:ln w="28575">
              <a:noFill/>
            </a:ln>
          </c:spPr>
          <c:cat>
            <c:numRef>
              <c:f>'19'!$E$6:$E$66</c:f>
              <c:numCache>
                <c:formatCode>General</c:formatCode>
                <c:ptCount val="6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</c:numCache>
            </c:numRef>
          </c:cat>
          <c:val>
            <c:numRef>
              <c:f>'19'!$G$6:$G$66</c:f>
              <c:numCache>
                <c:formatCode>General</c:formatCode>
                <c:ptCount val="61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0.94689999999999996</c:v>
                </c:pt>
                <c:pt idx="25">
                  <c:v>0.92520000000000002</c:v>
                </c:pt>
                <c:pt idx="26">
                  <c:v>0.90359999999999996</c:v>
                </c:pt>
                <c:pt idx="27">
                  <c:v>0.876</c:v>
                </c:pt>
                <c:pt idx="28">
                  <c:v>0.84619999999999995</c:v>
                </c:pt>
                <c:pt idx="29">
                  <c:v>0.81669999999999998</c:v>
                </c:pt>
                <c:pt idx="30">
                  <c:v>0.78759999999999997</c:v>
                </c:pt>
                <c:pt idx="31">
                  <c:v>0.75839999999999996</c:v>
                </c:pt>
                <c:pt idx="32">
                  <c:v>0.74229999999999996</c:v>
                </c:pt>
                <c:pt idx="33">
                  <c:v>0.73060000000000003</c:v>
                </c:pt>
                <c:pt idx="34">
                  <c:v>0.71889999999999998</c:v>
                </c:pt>
                <c:pt idx="35">
                  <c:v>0.70730000000000004</c:v>
                </c:pt>
                <c:pt idx="36">
                  <c:v>0.6956</c:v>
                </c:pt>
                <c:pt idx="37">
                  <c:v>0.68410000000000004</c:v>
                </c:pt>
                <c:pt idx="38">
                  <c:v>0.6724</c:v>
                </c:pt>
                <c:pt idx="39">
                  <c:v>0.66069999999999995</c:v>
                </c:pt>
                <c:pt idx="40">
                  <c:v>0.64929999999999999</c:v>
                </c:pt>
                <c:pt idx="41">
                  <c:v>0.63770000000000004</c:v>
                </c:pt>
                <c:pt idx="42">
                  <c:v>0.62109999999999999</c:v>
                </c:pt>
                <c:pt idx="43">
                  <c:v>0.60299999999999998</c:v>
                </c:pt>
                <c:pt idx="44">
                  <c:v>0.58499999999999996</c:v>
                </c:pt>
                <c:pt idx="45">
                  <c:v>0.56710000000000005</c:v>
                </c:pt>
                <c:pt idx="46">
                  <c:v>0.54910000000000003</c:v>
                </c:pt>
                <c:pt idx="47">
                  <c:v>0.53110000000000002</c:v>
                </c:pt>
                <c:pt idx="48">
                  <c:v>0.51339999999999997</c:v>
                </c:pt>
                <c:pt idx="49">
                  <c:v>0.49569999999999997</c:v>
                </c:pt>
                <c:pt idx="50">
                  <c:v>0.47799999999999998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F-4ACA-88E4-FEA2B01612B4}"/>
            </c:ext>
          </c:extLst>
        </c:ser>
        <c:ser>
          <c:idx val="1"/>
          <c:order val="2"/>
          <c:tx>
            <c:strRef>
              <c:f>'19'!$F$5</c:f>
              <c:strCache>
                <c:ptCount val="1"/>
                <c:pt idx="0">
                  <c:v>Y-Min</c:v>
                </c:pt>
              </c:strCache>
            </c:strRef>
          </c:tx>
          <c:spPr>
            <a:solidFill>
              <a:schemeClr val="bg1"/>
            </a:solidFill>
            <a:ln w="28575">
              <a:solidFill>
                <a:schemeClr val="bg1"/>
              </a:solidFill>
            </a:ln>
            <a:effectLst/>
          </c:spPr>
          <c:cat>
            <c:numRef>
              <c:f>'19'!$E$6:$E$66</c:f>
              <c:numCache>
                <c:formatCode>General</c:formatCode>
                <c:ptCount val="6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</c:numCache>
            </c:numRef>
          </c:cat>
          <c:val>
            <c:numRef>
              <c:f>'19'!$F$6:$F$66</c:f>
              <c:numCache>
                <c:formatCode>General</c:formatCode>
                <c:ptCount val="6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0.78859999999999997</c:v>
                </c:pt>
                <c:pt idx="23">
                  <c:v>0.76859999999999995</c:v>
                </c:pt>
                <c:pt idx="24">
                  <c:v>0.74690000000000001</c:v>
                </c:pt>
                <c:pt idx="25">
                  <c:v>0.72519999999999996</c:v>
                </c:pt>
                <c:pt idx="26">
                  <c:v>0.7036</c:v>
                </c:pt>
                <c:pt idx="27">
                  <c:v>0.67600000000000005</c:v>
                </c:pt>
                <c:pt idx="28">
                  <c:v>0.6462</c:v>
                </c:pt>
                <c:pt idx="29">
                  <c:v>0.61670000000000003</c:v>
                </c:pt>
                <c:pt idx="30">
                  <c:v>0.58760000000000001</c:v>
                </c:pt>
                <c:pt idx="31">
                  <c:v>0.55840000000000001</c:v>
                </c:pt>
                <c:pt idx="32">
                  <c:v>0.5423</c:v>
                </c:pt>
                <c:pt idx="33">
                  <c:v>0.53059999999999996</c:v>
                </c:pt>
                <c:pt idx="34">
                  <c:v>0.51890000000000003</c:v>
                </c:pt>
                <c:pt idx="35">
                  <c:v>0.50729999999999997</c:v>
                </c:pt>
                <c:pt idx="36">
                  <c:v>0.49559999999999998</c:v>
                </c:pt>
                <c:pt idx="37">
                  <c:v>0.48409999999999997</c:v>
                </c:pt>
                <c:pt idx="38">
                  <c:v>0.47239999999999999</c:v>
                </c:pt>
                <c:pt idx="39">
                  <c:v>0.4607</c:v>
                </c:pt>
                <c:pt idx="40">
                  <c:v>0.44929999999999998</c:v>
                </c:pt>
                <c:pt idx="41">
                  <c:v>0.43769999999999998</c:v>
                </c:pt>
                <c:pt idx="42">
                  <c:v>0.42109999999999997</c:v>
                </c:pt>
                <c:pt idx="43">
                  <c:v>0.40300000000000002</c:v>
                </c:pt>
                <c:pt idx="44">
                  <c:v>0.38500000000000001</c:v>
                </c:pt>
                <c:pt idx="45">
                  <c:v>0.36709999999999998</c:v>
                </c:pt>
                <c:pt idx="46">
                  <c:v>0.34910000000000002</c:v>
                </c:pt>
                <c:pt idx="47">
                  <c:v>0.33110000000000001</c:v>
                </c:pt>
                <c:pt idx="48">
                  <c:v>0.31340000000000001</c:v>
                </c:pt>
                <c:pt idx="49">
                  <c:v>0.29570000000000002</c:v>
                </c:pt>
                <c:pt idx="50">
                  <c:v>0.27800000000000002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AF-4ACA-88E4-FEA2B0161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69696"/>
        <c:axId val="126284160"/>
      </c:areaChart>
      <c:scatterChart>
        <c:scatterStyle val="lineMarker"/>
        <c:varyColors val="0"/>
        <c:ser>
          <c:idx val="0"/>
          <c:order val="0"/>
          <c:tx>
            <c:strRef>
              <c:f>'19'!$B$4:$C$4</c:f>
              <c:strCache>
                <c:ptCount val="1"/>
                <c:pt idx="0">
                  <c:v>Scatter Series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4"/>
            <c:spPr>
              <a:solidFill>
                <a:schemeClr val="tx1">
                  <a:alpha val="50000"/>
                </a:schemeClr>
              </a:solidFill>
              <a:ln>
                <a:noFill/>
              </a:ln>
            </c:spPr>
          </c:marker>
          <c:xVal>
            <c:numRef>
              <c:f>'19'!$B$6:$B$5005</c:f>
              <c:numCache>
                <c:formatCode>0.0</c:formatCode>
                <c:ptCount val="5000"/>
                <c:pt idx="0">
                  <c:v>52.790999999999997</c:v>
                </c:pt>
                <c:pt idx="1">
                  <c:v>54.984999999999999</c:v>
                </c:pt>
                <c:pt idx="2">
                  <c:v>38.097000000000001</c:v>
                </c:pt>
                <c:pt idx="3">
                  <c:v>44.192</c:v>
                </c:pt>
                <c:pt idx="4">
                  <c:v>61.741999999999997</c:v>
                </c:pt>
                <c:pt idx="5">
                  <c:v>65.049000000000007</c:v>
                </c:pt>
                <c:pt idx="6">
                  <c:v>42.869</c:v>
                </c:pt>
                <c:pt idx="7">
                  <c:v>58.335999999999999</c:v>
                </c:pt>
                <c:pt idx="8">
                  <c:v>39.521000000000001</c:v>
                </c:pt>
                <c:pt idx="9">
                  <c:v>30.456</c:v>
                </c:pt>
                <c:pt idx="10">
                  <c:v>39.017000000000003</c:v>
                </c:pt>
                <c:pt idx="11">
                  <c:v>59.981000000000002</c:v>
                </c:pt>
                <c:pt idx="12">
                  <c:v>50.942999999999998</c:v>
                </c:pt>
                <c:pt idx="13">
                  <c:v>33.957000000000001</c:v>
                </c:pt>
                <c:pt idx="14">
                  <c:v>37.703000000000003</c:v>
                </c:pt>
                <c:pt idx="15">
                  <c:v>35.343000000000004</c:v>
                </c:pt>
                <c:pt idx="16">
                  <c:v>44.155999999999999</c:v>
                </c:pt>
                <c:pt idx="17">
                  <c:v>41.142000000000003</c:v>
                </c:pt>
                <c:pt idx="18">
                  <c:v>55.59</c:v>
                </c:pt>
                <c:pt idx="19">
                  <c:v>60.575000000000003</c:v>
                </c:pt>
                <c:pt idx="20">
                  <c:v>68.287999999999997</c:v>
                </c:pt>
                <c:pt idx="21">
                  <c:v>43.985999999999997</c:v>
                </c:pt>
                <c:pt idx="22">
                  <c:v>52.444000000000003</c:v>
                </c:pt>
                <c:pt idx="23">
                  <c:v>48.463000000000001</c:v>
                </c:pt>
                <c:pt idx="24">
                  <c:v>31.241</c:v>
                </c:pt>
                <c:pt idx="25">
                  <c:v>49.484000000000002</c:v>
                </c:pt>
                <c:pt idx="26">
                  <c:v>53.249000000000002</c:v>
                </c:pt>
                <c:pt idx="27">
                  <c:v>53.725000000000001</c:v>
                </c:pt>
                <c:pt idx="28">
                  <c:v>45.435000000000002</c:v>
                </c:pt>
                <c:pt idx="29">
                  <c:v>63.113</c:v>
                </c:pt>
                <c:pt idx="30">
                  <c:v>30.486000000000001</c:v>
                </c:pt>
                <c:pt idx="31">
                  <c:v>58.296999999999997</c:v>
                </c:pt>
                <c:pt idx="32">
                  <c:v>46.24</c:v>
                </c:pt>
                <c:pt idx="33">
                  <c:v>35.526000000000003</c:v>
                </c:pt>
                <c:pt idx="34">
                  <c:v>34.133000000000003</c:v>
                </c:pt>
                <c:pt idx="35">
                  <c:v>33.536000000000001</c:v>
                </c:pt>
                <c:pt idx="36">
                  <c:v>44.83</c:v>
                </c:pt>
                <c:pt idx="37">
                  <c:v>51.884999999999998</c:v>
                </c:pt>
                <c:pt idx="38">
                  <c:v>46.133000000000003</c:v>
                </c:pt>
                <c:pt idx="39">
                  <c:v>47.258000000000003</c:v>
                </c:pt>
                <c:pt idx="40">
                  <c:v>43.682000000000002</c:v>
                </c:pt>
                <c:pt idx="41">
                  <c:v>60.180999999999997</c:v>
                </c:pt>
                <c:pt idx="42">
                  <c:v>48.930999999999997</c:v>
                </c:pt>
                <c:pt idx="43">
                  <c:v>27.611000000000001</c:v>
                </c:pt>
                <c:pt idx="44">
                  <c:v>35.143000000000001</c:v>
                </c:pt>
                <c:pt idx="45">
                  <c:v>48.89</c:v>
                </c:pt>
                <c:pt idx="46">
                  <c:v>49.024000000000001</c:v>
                </c:pt>
                <c:pt idx="47">
                  <c:v>57.850999999999999</c:v>
                </c:pt>
                <c:pt idx="48">
                  <c:v>37.918999999999997</c:v>
                </c:pt>
                <c:pt idx="49">
                  <c:v>34.048000000000002</c:v>
                </c:pt>
                <c:pt idx="50">
                  <c:v>35.92</c:v>
                </c:pt>
                <c:pt idx="51">
                  <c:v>46.597999999999999</c:v>
                </c:pt>
                <c:pt idx="52">
                  <c:v>44.008000000000003</c:v>
                </c:pt>
                <c:pt idx="53">
                  <c:v>47.893000000000001</c:v>
                </c:pt>
                <c:pt idx="54">
                  <c:v>51.222999999999999</c:v>
                </c:pt>
                <c:pt idx="55">
                  <c:v>48.003</c:v>
                </c:pt>
                <c:pt idx="56">
                  <c:v>36.390999999999998</c:v>
                </c:pt>
                <c:pt idx="57">
                  <c:v>45.484000000000002</c:v>
                </c:pt>
                <c:pt idx="58">
                  <c:v>38.1</c:v>
                </c:pt>
                <c:pt idx="59">
                  <c:v>50.033999999999999</c:v>
                </c:pt>
                <c:pt idx="60">
                  <c:v>53.390999999999998</c:v>
                </c:pt>
                <c:pt idx="61">
                  <c:v>36.334000000000003</c:v>
                </c:pt>
                <c:pt idx="62">
                  <c:v>43.258000000000003</c:v>
                </c:pt>
                <c:pt idx="63">
                  <c:v>44.421999999999997</c:v>
                </c:pt>
                <c:pt idx="64">
                  <c:v>46.075000000000003</c:v>
                </c:pt>
                <c:pt idx="65">
                  <c:v>33.81</c:v>
                </c:pt>
                <c:pt idx="66">
                  <c:v>49.116999999999997</c:v>
                </c:pt>
                <c:pt idx="67">
                  <c:v>44.186</c:v>
                </c:pt>
                <c:pt idx="68">
                  <c:v>40.441000000000003</c:v>
                </c:pt>
                <c:pt idx="69">
                  <c:v>44.386000000000003</c:v>
                </c:pt>
                <c:pt idx="70">
                  <c:v>66.686000000000007</c:v>
                </c:pt>
                <c:pt idx="71">
                  <c:v>51.012</c:v>
                </c:pt>
                <c:pt idx="72">
                  <c:v>44.043999999999997</c:v>
                </c:pt>
                <c:pt idx="73">
                  <c:v>64.381</c:v>
                </c:pt>
                <c:pt idx="74">
                  <c:v>59.491</c:v>
                </c:pt>
                <c:pt idx="75">
                  <c:v>47.472000000000001</c:v>
                </c:pt>
                <c:pt idx="76">
                  <c:v>48.29</c:v>
                </c:pt>
                <c:pt idx="77">
                  <c:v>32.984999999999999</c:v>
                </c:pt>
                <c:pt idx="78">
                  <c:v>29.495000000000001</c:v>
                </c:pt>
                <c:pt idx="79">
                  <c:v>39.909999999999997</c:v>
                </c:pt>
                <c:pt idx="80">
                  <c:v>52.709000000000003</c:v>
                </c:pt>
                <c:pt idx="81">
                  <c:v>49.829000000000001</c:v>
                </c:pt>
                <c:pt idx="82">
                  <c:v>38.381999999999998</c:v>
                </c:pt>
                <c:pt idx="83">
                  <c:v>42.344000000000001</c:v>
                </c:pt>
                <c:pt idx="84">
                  <c:v>63.518999999999998</c:v>
                </c:pt>
                <c:pt idx="85">
                  <c:v>29.489000000000001</c:v>
                </c:pt>
                <c:pt idx="86">
                  <c:v>35.304000000000002</c:v>
                </c:pt>
                <c:pt idx="87">
                  <c:v>39.293999999999997</c:v>
                </c:pt>
                <c:pt idx="88">
                  <c:v>58.369</c:v>
                </c:pt>
                <c:pt idx="89">
                  <c:v>28.786000000000001</c:v>
                </c:pt>
                <c:pt idx="90">
                  <c:v>60.344999999999999</c:v>
                </c:pt>
                <c:pt idx="91">
                  <c:v>40.585999999999999</c:v>
                </c:pt>
                <c:pt idx="92">
                  <c:v>38.896999999999998</c:v>
                </c:pt>
                <c:pt idx="93">
                  <c:v>62.067999999999998</c:v>
                </c:pt>
                <c:pt idx="94">
                  <c:v>60.006</c:v>
                </c:pt>
                <c:pt idx="95">
                  <c:v>39.655000000000001</c:v>
                </c:pt>
                <c:pt idx="96">
                  <c:v>45.393999999999998</c:v>
                </c:pt>
                <c:pt idx="97">
                  <c:v>67.497</c:v>
                </c:pt>
                <c:pt idx="98">
                  <c:v>29.478000000000002</c:v>
                </c:pt>
                <c:pt idx="99">
                  <c:v>51.225000000000001</c:v>
                </c:pt>
                <c:pt idx="100">
                  <c:v>40.06</c:v>
                </c:pt>
                <c:pt idx="101">
                  <c:v>40.808</c:v>
                </c:pt>
                <c:pt idx="102">
                  <c:v>47.863</c:v>
                </c:pt>
                <c:pt idx="103">
                  <c:v>57.845999999999997</c:v>
                </c:pt>
                <c:pt idx="104">
                  <c:v>39.759</c:v>
                </c:pt>
                <c:pt idx="105">
                  <c:v>41.061999999999998</c:v>
                </c:pt>
                <c:pt idx="106">
                  <c:v>44.55</c:v>
                </c:pt>
                <c:pt idx="107">
                  <c:v>46.408999999999999</c:v>
                </c:pt>
                <c:pt idx="108">
                  <c:v>68.337000000000003</c:v>
                </c:pt>
                <c:pt idx="109">
                  <c:v>29.277999999999999</c:v>
                </c:pt>
                <c:pt idx="110">
                  <c:v>37.292000000000002</c:v>
                </c:pt>
                <c:pt idx="111">
                  <c:v>46.277999999999999</c:v>
                </c:pt>
                <c:pt idx="112">
                  <c:v>40.761000000000003</c:v>
                </c:pt>
                <c:pt idx="113">
                  <c:v>40.875999999999998</c:v>
                </c:pt>
                <c:pt idx="114">
                  <c:v>61.747</c:v>
                </c:pt>
                <c:pt idx="115">
                  <c:v>50.401000000000003</c:v>
                </c:pt>
                <c:pt idx="116">
                  <c:v>46.954000000000001</c:v>
                </c:pt>
                <c:pt idx="117">
                  <c:v>45.911000000000001</c:v>
                </c:pt>
                <c:pt idx="118">
                  <c:v>51.548000000000002</c:v>
                </c:pt>
                <c:pt idx="119">
                  <c:v>52.424999999999997</c:v>
                </c:pt>
                <c:pt idx="120">
                  <c:v>34.652999999999999</c:v>
                </c:pt>
                <c:pt idx="121">
                  <c:v>48.396999999999998</c:v>
                </c:pt>
                <c:pt idx="122">
                  <c:v>30.033999999999999</c:v>
                </c:pt>
                <c:pt idx="123">
                  <c:v>34.25</c:v>
                </c:pt>
                <c:pt idx="124">
                  <c:v>53.420999999999999</c:v>
                </c:pt>
                <c:pt idx="125">
                  <c:v>39.335000000000001</c:v>
                </c:pt>
                <c:pt idx="126">
                  <c:v>33.524999999999999</c:v>
                </c:pt>
                <c:pt idx="127">
                  <c:v>60.793999999999997</c:v>
                </c:pt>
                <c:pt idx="128">
                  <c:v>48.591999999999999</c:v>
                </c:pt>
                <c:pt idx="129">
                  <c:v>35.392000000000003</c:v>
                </c:pt>
                <c:pt idx="130">
                  <c:v>48.222000000000001</c:v>
                </c:pt>
                <c:pt idx="131">
                  <c:v>63.104999999999997</c:v>
                </c:pt>
                <c:pt idx="132">
                  <c:v>49.844999999999999</c:v>
                </c:pt>
                <c:pt idx="133">
                  <c:v>57.226999999999997</c:v>
                </c:pt>
                <c:pt idx="134">
                  <c:v>53.231999999999999</c:v>
                </c:pt>
                <c:pt idx="135">
                  <c:v>46.052999999999997</c:v>
                </c:pt>
                <c:pt idx="136">
                  <c:v>65.671000000000006</c:v>
                </c:pt>
                <c:pt idx="137">
                  <c:v>43.701999999999998</c:v>
                </c:pt>
                <c:pt idx="138">
                  <c:v>62.837000000000003</c:v>
                </c:pt>
                <c:pt idx="139">
                  <c:v>43.491</c:v>
                </c:pt>
                <c:pt idx="140">
                  <c:v>46.776000000000003</c:v>
                </c:pt>
                <c:pt idx="141">
                  <c:v>50.954000000000001</c:v>
                </c:pt>
                <c:pt idx="142">
                  <c:v>51.161999999999999</c:v>
                </c:pt>
                <c:pt idx="143">
                  <c:v>56.783000000000001</c:v>
                </c:pt>
                <c:pt idx="144">
                  <c:v>57.503</c:v>
                </c:pt>
                <c:pt idx="145">
                  <c:v>50.308</c:v>
                </c:pt>
                <c:pt idx="146">
                  <c:v>60.155999999999999</c:v>
                </c:pt>
                <c:pt idx="147">
                  <c:v>46.970999999999997</c:v>
                </c:pt>
                <c:pt idx="148">
                  <c:v>39.433</c:v>
                </c:pt>
                <c:pt idx="149">
                  <c:v>68.173000000000002</c:v>
                </c:pt>
                <c:pt idx="150">
                  <c:v>36.005000000000003</c:v>
                </c:pt>
                <c:pt idx="151">
                  <c:v>59.371000000000002</c:v>
                </c:pt>
                <c:pt idx="152">
                  <c:v>40.610999999999997</c:v>
                </c:pt>
                <c:pt idx="153">
                  <c:v>45.087000000000003</c:v>
                </c:pt>
                <c:pt idx="154">
                  <c:v>60.011000000000003</c:v>
                </c:pt>
                <c:pt idx="155">
                  <c:v>59.152000000000001</c:v>
                </c:pt>
                <c:pt idx="156">
                  <c:v>65.605000000000004</c:v>
                </c:pt>
                <c:pt idx="157">
                  <c:v>63.216999999999999</c:v>
                </c:pt>
                <c:pt idx="158">
                  <c:v>46.548999999999999</c:v>
                </c:pt>
                <c:pt idx="159">
                  <c:v>37.546999999999997</c:v>
                </c:pt>
                <c:pt idx="160">
                  <c:v>52.183999999999997</c:v>
                </c:pt>
                <c:pt idx="161">
                  <c:v>42.375999999999998</c:v>
                </c:pt>
                <c:pt idx="162">
                  <c:v>48.008000000000003</c:v>
                </c:pt>
                <c:pt idx="163">
                  <c:v>42.902000000000001</c:v>
                </c:pt>
                <c:pt idx="164">
                  <c:v>37.054000000000002</c:v>
                </c:pt>
                <c:pt idx="165">
                  <c:v>32.777000000000001</c:v>
                </c:pt>
                <c:pt idx="166">
                  <c:v>44.29</c:v>
                </c:pt>
                <c:pt idx="167">
                  <c:v>36.164000000000001</c:v>
                </c:pt>
                <c:pt idx="168">
                  <c:v>35.561999999999998</c:v>
                </c:pt>
                <c:pt idx="169">
                  <c:v>54.540999999999997</c:v>
                </c:pt>
                <c:pt idx="170">
                  <c:v>55.942999999999998</c:v>
                </c:pt>
                <c:pt idx="171">
                  <c:v>54.401000000000003</c:v>
                </c:pt>
                <c:pt idx="172">
                  <c:v>40.262999999999998</c:v>
                </c:pt>
                <c:pt idx="173">
                  <c:v>40.268000000000001</c:v>
                </c:pt>
                <c:pt idx="174">
                  <c:v>33.692</c:v>
                </c:pt>
                <c:pt idx="175">
                  <c:v>31.97</c:v>
                </c:pt>
                <c:pt idx="176">
                  <c:v>31.302</c:v>
                </c:pt>
                <c:pt idx="177">
                  <c:v>37.037999999999997</c:v>
                </c:pt>
                <c:pt idx="178">
                  <c:v>36.234999999999999</c:v>
                </c:pt>
                <c:pt idx="179">
                  <c:v>38.104999999999997</c:v>
                </c:pt>
                <c:pt idx="180">
                  <c:v>37.573999999999998</c:v>
                </c:pt>
                <c:pt idx="181">
                  <c:v>28.626999999999999</c:v>
                </c:pt>
                <c:pt idx="182">
                  <c:v>30.315999999999999</c:v>
                </c:pt>
                <c:pt idx="183">
                  <c:v>42.116</c:v>
                </c:pt>
                <c:pt idx="184">
                  <c:v>55.170999999999999</c:v>
                </c:pt>
                <c:pt idx="185">
                  <c:v>36.097999999999999</c:v>
                </c:pt>
                <c:pt idx="186">
                  <c:v>42.743000000000002</c:v>
                </c:pt>
                <c:pt idx="187">
                  <c:v>32.423999999999999</c:v>
                </c:pt>
                <c:pt idx="188">
                  <c:v>60.173000000000002</c:v>
                </c:pt>
                <c:pt idx="189">
                  <c:v>46.21</c:v>
                </c:pt>
                <c:pt idx="190">
                  <c:v>42.209000000000003</c:v>
                </c:pt>
                <c:pt idx="191">
                  <c:v>50.902000000000001</c:v>
                </c:pt>
                <c:pt idx="192">
                  <c:v>34.584000000000003</c:v>
                </c:pt>
                <c:pt idx="193">
                  <c:v>51.238999999999997</c:v>
                </c:pt>
                <c:pt idx="194">
                  <c:v>54.267000000000003</c:v>
                </c:pt>
                <c:pt idx="195">
                  <c:v>53.35</c:v>
                </c:pt>
                <c:pt idx="196">
                  <c:v>46.414999999999999</c:v>
                </c:pt>
                <c:pt idx="197">
                  <c:v>46.91</c:v>
                </c:pt>
                <c:pt idx="198">
                  <c:v>47.962000000000003</c:v>
                </c:pt>
                <c:pt idx="199">
                  <c:v>38.723999999999997</c:v>
                </c:pt>
                <c:pt idx="200">
                  <c:v>38.459000000000003</c:v>
                </c:pt>
                <c:pt idx="201">
                  <c:v>45.087000000000003</c:v>
                </c:pt>
                <c:pt idx="202">
                  <c:v>53.856999999999999</c:v>
                </c:pt>
                <c:pt idx="203">
                  <c:v>44.11</c:v>
                </c:pt>
                <c:pt idx="204">
                  <c:v>56.948</c:v>
                </c:pt>
                <c:pt idx="205">
                  <c:v>39.466000000000001</c:v>
                </c:pt>
                <c:pt idx="206">
                  <c:v>51.015000000000001</c:v>
                </c:pt>
                <c:pt idx="207">
                  <c:v>53.161000000000001</c:v>
                </c:pt>
                <c:pt idx="208">
                  <c:v>45.427</c:v>
                </c:pt>
                <c:pt idx="209">
                  <c:v>31.815999999999999</c:v>
                </c:pt>
                <c:pt idx="210">
                  <c:v>47.447000000000003</c:v>
                </c:pt>
                <c:pt idx="211">
                  <c:v>55.234000000000002</c:v>
                </c:pt>
                <c:pt idx="212">
                  <c:v>65.938999999999993</c:v>
                </c:pt>
                <c:pt idx="213">
                  <c:v>33.005000000000003</c:v>
                </c:pt>
                <c:pt idx="214">
                  <c:v>35.555999999999997</c:v>
                </c:pt>
                <c:pt idx="215">
                  <c:v>59.02</c:v>
                </c:pt>
                <c:pt idx="216">
                  <c:v>38.029000000000003</c:v>
                </c:pt>
                <c:pt idx="217">
                  <c:v>62.674999999999997</c:v>
                </c:pt>
                <c:pt idx="218">
                  <c:v>33.267000000000003</c:v>
                </c:pt>
                <c:pt idx="219">
                  <c:v>32.095999999999997</c:v>
                </c:pt>
                <c:pt idx="220">
                  <c:v>74.864000000000004</c:v>
                </c:pt>
                <c:pt idx="221">
                  <c:v>38.749000000000002</c:v>
                </c:pt>
                <c:pt idx="222">
                  <c:v>61.216000000000001</c:v>
                </c:pt>
                <c:pt idx="223">
                  <c:v>39.698999999999998</c:v>
                </c:pt>
                <c:pt idx="224">
                  <c:v>40.29</c:v>
                </c:pt>
                <c:pt idx="225">
                  <c:v>60.176000000000002</c:v>
                </c:pt>
                <c:pt idx="226">
                  <c:v>40.292999999999999</c:v>
                </c:pt>
                <c:pt idx="227">
                  <c:v>60.131999999999998</c:v>
                </c:pt>
                <c:pt idx="228">
                  <c:v>65.418999999999997</c:v>
                </c:pt>
                <c:pt idx="229">
                  <c:v>43.753999999999998</c:v>
                </c:pt>
                <c:pt idx="230">
                  <c:v>33.119999999999997</c:v>
                </c:pt>
                <c:pt idx="231">
                  <c:v>58.432000000000002</c:v>
                </c:pt>
                <c:pt idx="232">
                  <c:v>52.055</c:v>
                </c:pt>
                <c:pt idx="233">
                  <c:v>44.006</c:v>
                </c:pt>
                <c:pt idx="234">
                  <c:v>32.601999999999997</c:v>
                </c:pt>
                <c:pt idx="235">
                  <c:v>32.960999999999999</c:v>
                </c:pt>
                <c:pt idx="236">
                  <c:v>70.257000000000005</c:v>
                </c:pt>
                <c:pt idx="237">
                  <c:v>49.459000000000003</c:v>
                </c:pt>
                <c:pt idx="238">
                  <c:v>40.994</c:v>
                </c:pt>
                <c:pt idx="239">
                  <c:v>50.401000000000003</c:v>
                </c:pt>
                <c:pt idx="240">
                  <c:v>31.611000000000001</c:v>
                </c:pt>
                <c:pt idx="241">
                  <c:v>37.414999999999999</c:v>
                </c:pt>
                <c:pt idx="242">
                  <c:v>53.790999999999997</c:v>
                </c:pt>
                <c:pt idx="243">
                  <c:v>58.686</c:v>
                </c:pt>
                <c:pt idx="244">
                  <c:v>35.677</c:v>
                </c:pt>
                <c:pt idx="245">
                  <c:v>49.517000000000003</c:v>
                </c:pt>
                <c:pt idx="246">
                  <c:v>61.438000000000002</c:v>
                </c:pt>
                <c:pt idx="247">
                  <c:v>48.381</c:v>
                </c:pt>
                <c:pt idx="248">
                  <c:v>37.988</c:v>
                </c:pt>
                <c:pt idx="249">
                  <c:v>60.881999999999998</c:v>
                </c:pt>
                <c:pt idx="250">
                  <c:v>39.323999999999998</c:v>
                </c:pt>
                <c:pt idx="251">
                  <c:v>35.337000000000003</c:v>
                </c:pt>
                <c:pt idx="252">
                  <c:v>36.027000000000001</c:v>
                </c:pt>
                <c:pt idx="253">
                  <c:v>66.774000000000001</c:v>
                </c:pt>
                <c:pt idx="254">
                  <c:v>32.597000000000001</c:v>
                </c:pt>
                <c:pt idx="255">
                  <c:v>46.436999999999998</c:v>
                </c:pt>
                <c:pt idx="256">
                  <c:v>51.088000000000001</c:v>
                </c:pt>
                <c:pt idx="257">
                  <c:v>48.32</c:v>
                </c:pt>
                <c:pt idx="258">
                  <c:v>46.883000000000003</c:v>
                </c:pt>
                <c:pt idx="259">
                  <c:v>44.317999999999998</c:v>
                </c:pt>
                <c:pt idx="260">
                  <c:v>49.790999999999997</c:v>
                </c:pt>
                <c:pt idx="261">
                  <c:v>38.225999999999999</c:v>
                </c:pt>
                <c:pt idx="262">
                  <c:v>65.887</c:v>
                </c:pt>
                <c:pt idx="263">
                  <c:v>30.308</c:v>
                </c:pt>
                <c:pt idx="264">
                  <c:v>32.076000000000001</c:v>
                </c:pt>
                <c:pt idx="265">
                  <c:v>49.790999999999997</c:v>
                </c:pt>
                <c:pt idx="266">
                  <c:v>59.186999999999998</c:v>
                </c:pt>
                <c:pt idx="267">
                  <c:v>34.972999999999999</c:v>
                </c:pt>
                <c:pt idx="268">
                  <c:v>47.203000000000003</c:v>
                </c:pt>
                <c:pt idx="269">
                  <c:v>32.892000000000003</c:v>
                </c:pt>
                <c:pt idx="270">
                  <c:v>57.569000000000003</c:v>
                </c:pt>
                <c:pt idx="271">
                  <c:v>53.12</c:v>
                </c:pt>
                <c:pt idx="272">
                  <c:v>71.363</c:v>
                </c:pt>
                <c:pt idx="273">
                  <c:v>53.335999999999999</c:v>
                </c:pt>
                <c:pt idx="274">
                  <c:v>34.838999999999999</c:v>
                </c:pt>
                <c:pt idx="275">
                  <c:v>36.276000000000003</c:v>
                </c:pt>
                <c:pt idx="276">
                  <c:v>67.116</c:v>
                </c:pt>
                <c:pt idx="277">
                  <c:v>71.385000000000005</c:v>
                </c:pt>
                <c:pt idx="278">
                  <c:v>36.901000000000003</c:v>
                </c:pt>
                <c:pt idx="279">
                  <c:v>64.832999999999998</c:v>
                </c:pt>
                <c:pt idx="280">
                  <c:v>34.883000000000003</c:v>
                </c:pt>
                <c:pt idx="281">
                  <c:v>42.5</c:v>
                </c:pt>
                <c:pt idx="282">
                  <c:v>36.722999999999999</c:v>
                </c:pt>
                <c:pt idx="283">
                  <c:v>42.292000000000002</c:v>
                </c:pt>
                <c:pt idx="284">
                  <c:v>44.295999999999999</c:v>
                </c:pt>
                <c:pt idx="285">
                  <c:v>68.408000000000001</c:v>
                </c:pt>
                <c:pt idx="286">
                  <c:v>30.699000000000002</c:v>
                </c:pt>
                <c:pt idx="287">
                  <c:v>67.902000000000001</c:v>
                </c:pt>
                <c:pt idx="288">
                  <c:v>41.04</c:v>
                </c:pt>
                <c:pt idx="289">
                  <c:v>35.936999999999998</c:v>
                </c:pt>
                <c:pt idx="290">
                  <c:v>33.286999999999999</c:v>
                </c:pt>
                <c:pt idx="291">
                  <c:v>37.207000000000001</c:v>
                </c:pt>
                <c:pt idx="292">
                  <c:v>47.003999999999998</c:v>
                </c:pt>
                <c:pt idx="293">
                  <c:v>65.799000000000007</c:v>
                </c:pt>
                <c:pt idx="294">
                  <c:v>38.146000000000001</c:v>
                </c:pt>
                <c:pt idx="295">
                  <c:v>39.835999999999999</c:v>
                </c:pt>
                <c:pt idx="296">
                  <c:v>47.017000000000003</c:v>
                </c:pt>
                <c:pt idx="297">
                  <c:v>43.198</c:v>
                </c:pt>
                <c:pt idx="298">
                  <c:v>33.295000000000002</c:v>
                </c:pt>
                <c:pt idx="299">
                  <c:v>49.292000000000002</c:v>
                </c:pt>
                <c:pt idx="300">
                  <c:v>35.83</c:v>
                </c:pt>
                <c:pt idx="301">
                  <c:v>48.725999999999999</c:v>
                </c:pt>
                <c:pt idx="302">
                  <c:v>42.600999999999999</c:v>
                </c:pt>
                <c:pt idx="303">
                  <c:v>58.191000000000003</c:v>
                </c:pt>
                <c:pt idx="304">
                  <c:v>41.100999999999999</c:v>
                </c:pt>
                <c:pt idx="305">
                  <c:v>44.314999999999998</c:v>
                </c:pt>
                <c:pt idx="306">
                  <c:v>59.302</c:v>
                </c:pt>
                <c:pt idx="307">
                  <c:v>40.244</c:v>
                </c:pt>
                <c:pt idx="308">
                  <c:v>43.066000000000003</c:v>
                </c:pt>
                <c:pt idx="309">
                  <c:v>51.625</c:v>
                </c:pt>
                <c:pt idx="310">
                  <c:v>32.81</c:v>
                </c:pt>
                <c:pt idx="311">
                  <c:v>48.497999999999998</c:v>
                </c:pt>
                <c:pt idx="312">
                  <c:v>34.886000000000003</c:v>
                </c:pt>
                <c:pt idx="313">
                  <c:v>38.179000000000002</c:v>
                </c:pt>
                <c:pt idx="314">
                  <c:v>39.877000000000002</c:v>
                </c:pt>
                <c:pt idx="315">
                  <c:v>46.097000000000001</c:v>
                </c:pt>
                <c:pt idx="316">
                  <c:v>47.265999999999998</c:v>
                </c:pt>
                <c:pt idx="317">
                  <c:v>38.207000000000001</c:v>
                </c:pt>
                <c:pt idx="318">
                  <c:v>54.896999999999998</c:v>
                </c:pt>
                <c:pt idx="319">
                  <c:v>44.356000000000002</c:v>
                </c:pt>
                <c:pt idx="320">
                  <c:v>33.387999999999998</c:v>
                </c:pt>
                <c:pt idx="321">
                  <c:v>39.277000000000001</c:v>
                </c:pt>
                <c:pt idx="322">
                  <c:v>49.24</c:v>
                </c:pt>
                <c:pt idx="323">
                  <c:v>34.587000000000003</c:v>
                </c:pt>
                <c:pt idx="324">
                  <c:v>43.835999999999999</c:v>
                </c:pt>
                <c:pt idx="325">
                  <c:v>63.872</c:v>
                </c:pt>
                <c:pt idx="326">
                  <c:v>53.234999999999999</c:v>
                </c:pt>
                <c:pt idx="327">
                  <c:v>51.113</c:v>
                </c:pt>
                <c:pt idx="328">
                  <c:v>42.847000000000001</c:v>
                </c:pt>
                <c:pt idx="329">
                  <c:v>47.241999999999997</c:v>
                </c:pt>
                <c:pt idx="330">
                  <c:v>67.061000000000007</c:v>
                </c:pt>
                <c:pt idx="331">
                  <c:v>66.239999999999995</c:v>
                </c:pt>
                <c:pt idx="332">
                  <c:v>42.932000000000002</c:v>
                </c:pt>
                <c:pt idx="333">
                  <c:v>50.33</c:v>
                </c:pt>
                <c:pt idx="334">
                  <c:v>60.737000000000002</c:v>
                </c:pt>
                <c:pt idx="335">
                  <c:v>50.371000000000002</c:v>
                </c:pt>
                <c:pt idx="336">
                  <c:v>35.021999999999998</c:v>
                </c:pt>
                <c:pt idx="337">
                  <c:v>34.948999999999998</c:v>
                </c:pt>
                <c:pt idx="338">
                  <c:v>57.787999999999997</c:v>
                </c:pt>
                <c:pt idx="339">
                  <c:v>42.834000000000003</c:v>
                </c:pt>
                <c:pt idx="340">
                  <c:v>39.479999999999997</c:v>
                </c:pt>
                <c:pt idx="341">
                  <c:v>31.347999999999999</c:v>
                </c:pt>
                <c:pt idx="342">
                  <c:v>44.142000000000003</c:v>
                </c:pt>
                <c:pt idx="343">
                  <c:v>29.626000000000001</c:v>
                </c:pt>
                <c:pt idx="344">
                  <c:v>41.402000000000001</c:v>
                </c:pt>
                <c:pt idx="345">
                  <c:v>52.744999999999997</c:v>
                </c:pt>
                <c:pt idx="346">
                  <c:v>62.856000000000002</c:v>
                </c:pt>
                <c:pt idx="347">
                  <c:v>40.008000000000003</c:v>
                </c:pt>
                <c:pt idx="348">
                  <c:v>42.579000000000001</c:v>
                </c:pt>
                <c:pt idx="349">
                  <c:v>43.427999999999997</c:v>
                </c:pt>
                <c:pt idx="350">
                  <c:v>36.037999999999997</c:v>
                </c:pt>
                <c:pt idx="351">
                  <c:v>39.704000000000001</c:v>
                </c:pt>
                <c:pt idx="352">
                  <c:v>46.485999999999997</c:v>
                </c:pt>
                <c:pt idx="353">
                  <c:v>53.106000000000002</c:v>
                </c:pt>
                <c:pt idx="354">
                  <c:v>44.942</c:v>
                </c:pt>
                <c:pt idx="355">
                  <c:v>46.905000000000001</c:v>
                </c:pt>
                <c:pt idx="356">
                  <c:v>37.988</c:v>
                </c:pt>
                <c:pt idx="357">
                  <c:v>66.188000000000002</c:v>
                </c:pt>
                <c:pt idx="358">
                  <c:v>32.15</c:v>
                </c:pt>
                <c:pt idx="359">
                  <c:v>38.085999999999999</c:v>
                </c:pt>
                <c:pt idx="360">
                  <c:v>62.606999999999999</c:v>
                </c:pt>
                <c:pt idx="361">
                  <c:v>33.472999999999999</c:v>
                </c:pt>
                <c:pt idx="362">
                  <c:v>38.42</c:v>
                </c:pt>
                <c:pt idx="363">
                  <c:v>64.430000000000007</c:v>
                </c:pt>
                <c:pt idx="364">
                  <c:v>49.96</c:v>
                </c:pt>
                <c:pt idx="365">
                  <c:v>46.631</c:v>
                </c:pt>
                <c:pt idx="366">
                  <c:v>54.664000000000001</c:v>
                </c:pt>
                <c:pt idx="367">
                  <c:v>57.268000000000001</c:v>
                </c:pt>
                <c:pt idx="368">
                  <c:v>38.368000000000002</c:v>
                </c:pt>
                <c:pt idx="369">
                  <c:v>36.148000000000003</c:v>
                </c:pt>
                <c:pt idx="370">
                  <c:v>39.293999999999997</c:v>
                </c:pt>
                <c:pt idx="371">
                  <c:v>67.516000000000005</c:v>
                </c:pt>
                <c:pt idx="372">
                  <c:v>41.100999999999999</c:v>
                </c:pt>
                <c:pt idx="373">
                  <c:v>46.122</c:v>
                </c:pt>
                <c:pt idx="374">
                  <c:v>39.734000000000002</c:v>
                </c:pt>
                <c:pt idx="375">
                  <c:v>47.822000000000003</c:v>
                </c:pt>
                <c:pt idx="376">
                  <c:v>47.072000000000003</c:v>
                </c:pt>
                <c:pt idx="377">
                  <c:v>43.795000000000002</c:v>
                </c:pt>
                <c:pt idx="378">
                  <c:v>44.945</c:v>
                </c:pt>
                <c:pt idx="379">
                  <c:v>65.337000000000003</c:v>
                </c:pt>
                <c:pt idx="380">
                  <c:v>41.744</c:v>
                </c:pt>
                <c:pt idx="381">
                  <c:v>43.295999999999999</c:v>
                </c:pt>
                <c:pt idx="382">
                  <c:v>48.848999999999997</c:v>
                </c:pt>
                <c:pt idx="383">
                  <c:v>43.375999999999998</c:v>
                </c:pt>
                <c:pt idx="384">
                  <c:v>38.804000000000002</c:v>
                </c:pt>
                <c:pt idx="385">
                  <c:v>34.869</c:v>
                </c:pt>
                <c:pt idx="386">
                  <c:v>35.715000000000003</c:v>
                </c:pt>
                <c:pt idx="387">
                  <c:v>33.527999999999999</c:v>
                </c:pt>
                <c:pt idx="388">
                  <c:v>67.286000000000001</c:v>
                </c:pt>
                <c:pt idx="389">
                  <c:v>63.127000000000002</c:v>
                </c:pt>
                <c:pt idx="390">
                  <c:v>66.144000000000005</c:v>
                </c:pt>
                <c:pt idx="391">
                  <c:v>43.874000000000002</c:v>
                </c:pt>
                <c:pt idx="392">
                  <c:v>42.314</c:v>
                </c:pt>
                <c:pt idx="393">
                  <c:v>68.028000000000006</c:v>
                </c:pt>
                <c:pt idx="394">
                  <c:v>63.167999999999999</c:v>
                </c:pt>
                <c:pt idx="395">
                  <c:v>40.386000000000003</c:v>
                </c:pt>
                <c:pt idx="396">
                  <c:v>49.598999999999997</c:v>
                </c:pt>
                <c:pt idx="397">
                  <c:v>34.927</c:v>
                </c:pt>
                <c:pt idx="398">
                  <c:v>43.183999999999997</c:v>
                </c:pt>
                <c:pt idx="399">
                  <c:v>34.518999999999998</c:v>
                </c:pt>
                <c:pt idx="400">
                  <c:v>40.692999999999998</c:v>
                </c:pt>
                <c:pt idx="401">
                  <c:v>45.283999999999999</c:v>
                </c:pt>
                <c:pt idx="402">
                  <c:v>51.345999999999997</c:v>
                </c:pt>
                <c:pt idx="403">
                  <c:v>68.882000000000005</c:v>
                </c:pt>
                <c:pt idx="404">
                  <c:v>48.936</c:v>
                </c:pt>
                <c:pt idx="405">
                  <c:v>50.423000000000002</c:v>
                </c:pt>
                <c:pt idx="406">
                  <c:v>70.013000000000005</c:v>
                </c:pt>
                <c:pt idx="407">
                  <c:v>40.048999999999999</c:v>
                </c:pt>
                <c:pt idx="408">
                  <c:v>42.96</c:v>
                </c:pt>
                <c:pt idx="409">
                  <c:v>51.548000000000002</c:v>
                </c:pt>
                <c:pt idx="410">
                  <c:v>42.485999999999997</c:v>
                </c:pt>
                <c:pt idx="411">
                  <c:v>57.646000000000001</c:v>
                </c:pt>
                <c:pt idx="412">
                  <c:v>44.66</c:v>
                </c:pt>
                <c:pt idx="413">
                  <c:v>46.968000000000004</c:v>
                </c:pt>
                <c:pt idx="414">
                  <c:v>61.043999999999997</c:v>
                </c:pt>
                <c:pt idx="415">
                  <c:v>60.189</c:v>
                </c:pt>
              </c:numCache>
            </c:numRef>
          </c:xVal>
          <c:yVal>
            <c:numRef>
              <c:f>'19'!$C$6:$C$5005</c:f>
              <c:numCache>
                <c:formatCode>0.0000</c:formatCode>
                <c:ptCount val="5000"/>
                <c:pt idx="0">
                  <c:v>0.67689999999999995</c:v>
                </c:pt>
                <c:pt idx="1">
                  <c:v>0.67689999999999995</c:v>
                </c:pt>
                <c:pt idx="2">
                  <c:v>0.90080000000000005</c:v>
                </c:pt>
                <c:pt idx="3">
                  <c:v>0.82620000000000005</c:v>
                </c:pt>
                <c:pt idx="4">
                  <c:v>0.79379999999999995</c:v>
                </c:pt>
                <c:pt idx="5">
                  <c:v>0.501</c:v>
                </c:pt>
                <c:pt idx="6">
                  <c:v>0.82620000000000005</c:v>
                </c:pt>
                <c:pt idx="7">
                  <c:v>0.60129999999999995</c:v>
                </c:pt>
                <c:pt idx="8">
                  <c:v>0.90080000000000005</c:v>
                </c:pt>
                <c:pt idx="9">
                  <c:v>0.90090000000000003</c:v>
                </c:pt>
                <c:pt idx="10">
                  <c:v>0.90080000000000005</c:v>
                </c:pt>
                <c:pt idx="11">
                  <c:v>0.60129999999999995</c:v>
                </c:pt>
                <c:pt idx="12">
                  <c:v>0.75160000000000005</c:v>
                </c:pt>
                <c:pt idx="13">
                  <c:v>0.90100000000000002</c:v>
                </c:pt>
                <c:pt idx="14">
                  <c:v>0.90100000000000002</c:v>
                </c:pt>
                <c:pt idx="15">
                  <c:v>0.90100000000000002</c:v>
                </c:pt>
                <c:pt idx="16">
                  <c:v>0.82620000000000005</c:v>
                </c:pt>
                <c:pt idx="17">
                  <c:v>0.90080000000000005</c:v>
                </c:pt>
                <c:pt idx="18">
                  <c:v>0.67689999999999995</c:v>
                </c:pt>
                <c:pt idx="19">
                  <c:v>0.60129999999999995</c:v>
                </c:pt>
                <c:pt idx="20">
                  <c:v>1</c:v>
                </c:pt>
                <c:pt idx="21">
                  <c:v>0.82620000000000005</c:v>
                </c:pt>
                <c:pt idx="22">
                  <c:v>0.75160000000000005</c:v>
                </c:pt>
                <c:pt idx="23">
                  <c:v>1</c:v>
                </c:pt>
                <c:pt idx="24">
                  <c:v>0.90090000000000003</c:v>
                </c:pt>
                <c:pt idx="25">
                  <c:v>0.77129999999999999</c:v>
                </c:pt>
                <c:pt idx="26">
                  <c:v>0.67689999999999995</c:v>
                </c:pt>
                <c:pt idx="27">
                  <c:v>0.67689999999999995</c:v>
                </c:pt>
                <c:pt idx="28">
                  <c:v>0.82620000000000005</c:v>
                </c:pt>
                <c:pt idx="29">
                  <c:v>0.501</c:v>
                </c:pt>
                <c:pt idx="30">
                  <c:v>0.90080000000000005</c:v>
                </c:pt>
                <c:pt idx="31">
                  <c:v>0.84279999999999999</c:v>
                </c:pt>
                <c:pt idx="32">
                  <c:v>0.82630000000000003</c:v>
                </c:pt>
                <c:pt idx="33">
                  <c:v>0.90100000000000002</c:v>
                </c:pt>
                <c:pt idx="34">
                  <c:v>1</c:v>
                </c:pt>
                <c:pt idx="35">
                  <c:v>0.90100000000000002</c:v>
                </c:pt>
                <c:pt idx="36">
                  <c:v>0.96330000000000005</c:v>
                </c:pt>
                <c:pt idx="37">
                  <c:v>0.75160000000000005</c:v>
                </c:pt>
                <c:pt idx="38">
                  <c:v>0.82620000000000005</c:v>
                </c:pt>
                <c:pt idx="39">
                  <c:v>0.82620000000000005</c:v>
                </c:pt>
                <c:pt idx="40">
                  <c:v>0.77200000000000002</c:v>
                </c:pt>
                <c:pt idx="41">
                  <c:v>0.60129999999999995</c:v>
                </c:pt>
                <c:pt idx="42">
                  <c:v>0.75160000000000005</c:v>
                </c:pt>
                <c:pt idx="43">
                  <c:v>0.90059999999999996</c:v>
                </c:pt>
                <c:pt idx="44">
                  <c:v>0.90100000000000002</c:v>
                </c:pt>
                <c:pt idx="45">
                  <c:v>0.80649999999999999</c:v>
                </c:pt>
                <c:pt idx="46">
                  <c:v>0.75160000000000005</c:v>
                </c:pt>
                <c:pt idx="47">
                  <c:v>0.60129999999999995</c:v>
                </c:pt>
                <c:pt idx="48">
                  <c:v>0.90059999999999996</c:v>
                </c:pt>
                <c:pt idx="49">
                  <c:v>0.90100000000000002</c:v>
                </c:pt>
                <c:pt idx="50">
                  <c:v>0.90100000000000002</c:v>
                </c:pt>
                <c:pt idx="51">
                  <c:v>0.82620000000000005</c:v>
                </c:pt>
                <c:pt idx="52">
                  <c:v>0.82620000000000005</c:v>
                </c:pt>
                <c:pt idx="53">
                  <c:v>0.75160000000000005</c:v>
                </c:pt>
                <c:pt idx="54">
                  <c:v>0.75160000000000005</c:v>
                </c:pt>
                <c:pt idx="55">
                  <c:v>0.75160000000000005</c:v>
                </c:pt>
                <c:pt idx="56">
                  <c:v>0.90080000000000005</c:v>
                </c:pt>
                <c:pt idx="57">
                  <c:v>0.82620000000000005</c:v>
                </c:pt>
                <c:pt idx="58">
                  <c:v>1</c:v>
                </c:pt>
                <c:pt idx="59">
                  <c:v>0.75160000000000005</c:v>
                </c:pt>
                <c:pt idx="60">
                  <c:v>0.67689999999999995</c:v>
                </c:pt>
                <c:pt idx="61">
                  <c:v>0.90100000000000002</c:v>
                </c:pt>
                <c:pt idx="62">
                  <c:v>0.82620000000000005</c:v>
                </c:pt>
                <c:pt idx="63">
                  <c:v>0.82620000000000005</c:v>
                </c:pt>
                <c:pt idx="64">
                  <c:v>0.8468</c:v>
                </c:pt>
                <c:pt idx="65">
                  <c:v>0.90100000000000002</c:v>
                </c:pt>
                <c:pt idx="66">
                  <c:v>0.90080000000000005</c:v>
                </c:pt>
                <c:pt idx="67">
                  <c:v>0.90059999999999996</c:v>
                </c:pt>
                <c:pt idx="68">
                  <c:v>0.90080000000000005</c:v>
                </c:pt>
                <c:pt idx="69">
                  <c:v>0.82620000000000005</c:v>
                </c:pt>
                <c:pt idx="70">
                  <c:v>0.501</c:v>
                </c:pt>
                <c:pt idx="71">
                  <c:v>0.75160000000000005</c:v>
                </c:pt>
                <c:pt idx="72">
                  <c:v>0.82620000000000005</c:v>
                </c:pt>
                <c:pt idx="73">
                  <c:v>0.501</c:v>
                </c:pt>
                <c:pt idx="74">
                  <c:v>0.67689999999999995</c:v>
                </c:pt>
                <c:pt idx="75">
                  <c:v>0.97970000000000002</c:v>
                </c:pt>
                <c:pt idx="76">
                  <c:v>0.75160000000000005</c:v>
                </c:pt>
                <c:pt idx="77">
                  <c:v>0.90100000000000002</c:v>
                </c:pt>
                <c:pt idx="78">
                  <c:v>0.90090000000000003</c:v>
                </c:pt>
                <c:pt idx="79">
                  <c:v>0.90080000000000005</c:v>
                </c:pt>
                <c:pt idx="80">
                  <c:v>0.75160000000000005</c:v>
                </c:pt>
                <c:pt idx="81">
                  <c:v>0.75160000000000005</c:v>
                </c:pt>
                <c:pt idx="82">
                  <c:v>0.90080000000000005</c:v>
                </c:pt>
                <c:pt idx="83">
                  <c:v>0.8407</c:v>
                </c:pt>
                <c:pt idx="84">
                  <c:v>0.501</c:v>
                </c:pt>
                <c:pt idx="85">
                  <c:v>0</c:v>
                </c:pt>
                <c:pt idx="86">
                  <c:v>0.90100000000000002</c:v>
                </c:pt>
                <c:pt idx="87">
                  <c:v>0.90080000000000005</c:v>
                </c:pt>
                <c:pt idx="88">
                  <c:v>0.60129999999999995</c:v>
                </c:pt>
                <c:pt idx="89">
                  <c:v>0.90090000000000003</c:v>
                </c:pt>
                <c:pt idx="90">
                  <c:v>0.60129999999999995</c:v>
                </c:pt>
                <c:pt idx="91">
                  <c:v>0.90080000000000005</c:v>
                </c:pt>
                <c:pt idx="92">
                  <c:v>0.90080000000000005</c:v>
                </c:pt>
                <c:pt idx="93">
                  <c:v>0.60129999999999995</c:v>
                </c:pt>
                <c:pt idx="94">
                  <c:v>0.60129999999999995</c:v>
                </c:pt>
                <c:pt idx="95">
                  <c:v>0.90080000000000005</c:v>
                </c:pt>
                <c:pt idx="96">
                  <c:v>0.82620000000000005</c:v>
                </c:pt>
                <c:pt idx="97">
                  <c:v>0.67500000000000004</c:v>
                </c:pt>
                <c:pt idx="98">
                  <c:v>0.90090000000000003</c:v>
                </c:pt>
                <c:pt idx="99">
                  <c:v>0.75160000000000005</c:v>
                </c:pt>
                <c:pt idx="100">
                  <c:v>0.90080000000000005</c:v>
                </c:pt>
                <c:pt idx="101">
                  <c:v>0.90080000000000005</c:v>
                </c:pt>
                <c:pt idx="102">
                  <c:v>0.75160000000000005</c:v>
                </c:pt>
                <c:pt idx="103">
                  <c:v>0.749</c:v>
                </c:pt>
                <c:pt idx="104">
                  <c:v>0.94040000000000001</c:v>
                </c:pt>
                <c:pt idx="105">
                  <c:v>0.90080000000000005</c:v>
                </c:pt>
                <c:pt idx="106">
                  <c:v>0.82389999999999997</c:v>
                </c:pt>
                <c:pt idx="107">
                  <c:v>1</c:v>
                </c:pt>
                <c:pt idx="108">
                  <c:v>0.36009999999999998</c:v>
                </c:pt>
                <c:pt idx="109">
                  <c:v>0.90090000000000003</c:v>
                </c:pt>
                <c:pt idx="110">
                  <c:v>1</c:v>
                </c:pt>
                <c:pt idx="111">
                  <c:v>0.82620000000000005</c:v>
                </c:pt>
                <c:pt idx="112">
                  <c:v>0.90080000000000005</c:v>
                </c:pt>
                <c:pt idx="113">
                  <c:v>0.90080000000000005</c:v>
                </c:pt>
                <c:pt idx="114">
                  <c:v>0.92420000000000002</c:v>
                </c:pt>
                <c:pt idx="115">
                  <c:v>0.75160000000000005</c:v>
                </c:pt>
                <c:pt idx="116">
                  <c:v>0.82620000000000005</c:v>
                </c:pt>
                <c:pt idx="117">
                  <c:v>0.82620000000000005</c:v>
                </c:pt>
                <c:pt idx="118">
                  <c:v>0.75160000000000005</c:v>
                </c:pt>
                <c:pt idx="119">
                  <c:v>0.75160000000000005</c:v>
                </c:pt>
                <c:pt idx="120">
                  <c:v>0.90100000000000002</c:v>
                </c:pt>
                <c:pt idx="121">
                  <c:v>0.75160000000000005</c:v>
                </c:pt>
                <c:pt idx="122">
                  <c:v>1</c:v>
                </c:pt>
                <c:pt idx="123">
                  <c:v>0.90100000000000002</c:v>
                </c:pt>
                <c:pt idx="124">
                  <c:v>0.67689999999999995</c:v>
                </c:pt>
                <c:pt idx="125">
                  <c:v>0.90080000000000005</c:v>
                </c:pt>
                <c:pt idx="126">
                  <c:v>0.90100000000000002</c:v>
                </c:pt>
                <c:pt idx="127">
                  <c:v>0</c:v>
                </c:pt>
                <c:pt idx="128">
                  <c:v>1</c:v>
                </c:pt>
                <c:pt idx="129">
                  <c:v>0.90059999999999996</c:v>
                </c:pt>
                <c:pt idx="130">
                  <c:v>0.75160000000000005</c:v>
                </c:pt>
                <c:pt idx="131">
                  <c:v>1</c:v>
                </c:pt>
                <c:pt idx="132">
                  <c:v>0.62370000000000003</c:v>
                </c:pt>
                <c:pt idx="133">
                  <c:v>0.67689999999999995</c:v>
                </c:pt>
                <c:pt idx="134">
                  <c:v>1</c:v>
                </c:pt>
                <c:pt idx="135">
                  <c:v>0.82620000000000005</c:v>
                </c:pt>
                <c:pt idx="136">
                  <c:v>0.501</c:v>
                </c:pt>
                <c:pt idx="137">
                  <c:v>0.82620000000000005</c:v>
                </c:pt>
                <c:pt idx="138">
                  <c:v>0.501</c:v>
                </c:pt>
                <c:pt idx="139">
                  <c:v>1</c:v>
                </c:pt>
                <c:pt idx="140">
                  <c:v>0.82620000000000005</c:v>
                </c:pt>
                <c:pt idx="141">
                  <c:v>0.75160000000000005</c:v>
                </c:pt>
                <c:pt idx="142">
                  <c:v>0.75160000000000005</c:v>
                </c:pt>
                <c:pt idx="143">
                  <c:v>0.67689999999999995</c:v>
                </c:pt>
                <c:pt idx="144">
                  <c:v>0.67689999999999995</c:v>
                </c:pt>
                <c:pt idx="145">
                  <c:v>0.75160000000000005</c:v>
                </c:pt>
                <c:pt idx="146">
                  <c:v>0.60129999999999995</c:v>
                </c:pt>
                <c:pt idx="147">
                  <c:v>0.82620000000000005</c:v>
                </c:pt>
                <c:pt idx="148">
                  <c:v>0.90080000000000005</c:v>
                </c:pt>
                <c:pt idx="149">
                  <c:v>0.36009999999999998</c:v>
                </c:pt>
                <c:pt idx="150">
                  <c:v>0.90100000000000002</c:v>
                </c:pt>
                <c:pt idx="151">
                  <c:v>0.77869999999999995</c:v>
                </c:pt>
                <c:pt idx="152">
                  <c:v>0.90080000000000005</c:v>
                </c:pt>
                <c:pt idx="153">
                  <c:v>0.82620000000000005</c:v>
                </c:pt>
                <c:pt idx="154">
                  <c:v>1</c:v>
                </c:pt>
                <c:pt idx="155">
                  <c:v>0.60129999999999995</c:v>
                </c:pt>
                <c:pt idx="156">
                  <c:v>0.501</c:v>
                </c:pt>
                <c:pt idx="157">
                  <c:v>0.501</c:v>
                </c:pt>
                <c:pt idx="158">
                  <c:v>0.82620000000000005</c:v>
                </c:pt>
                <c:pt idx="159">
                  <c:v>0.90100000000000002</c:v>
                </c:pt>
                <c:pt idx="160">
                  <c:v>0.75160000000000005</c:v>
                </c:pt>
                <c:pt idx="161">
                  <c:v>0.90080000000000005</c:v>
                </c:pt>
                <c:pt idx="162">
                  <c:v>0.75160000000000005</c:v>
                </c:pt>
                <c:pt idx="163">
                  <c:v>0.82620000000000005</c:v>
                </c:pt>
                <c:pt idx="164">
                  <c:v>0.90100000000000002</c:v>
                </c:pt>
                <c:pt idx="165">
                  <c:v>0.90100000000000002</c:v>
                </c:pt>
                <c:pt idx="166">
                  <c:v>0.82620000000000005</c:v>
                </c:pt>
                <c:pt idx="167">
                  <c:v>0.9052</c:v>
                </c:pt>
                <c:pt idx="168">
                  <c:v>0.90100000000000002</c:v>
                </c:pt>
                <c:pt idx="169">
                  <c:v>0.876</c:v>
                </c:pt>
                <c:pt idx="170">
                  <c:v>0.67689999999999995</c:v>
                </c:pt>
                <c:pt idx="171">
                  <c:v>0.67689999999999995</c:v>
                </c:pt>
                <c:pt idx="172">
                  <c:v>0.90080000000000005</c:v>
                </c:pt>
                <c:pt idx="173">
                  <c:v>0.90080000000000005</c:v>
                </c:pt>
                <c:pt idx="174">
                  <c:v>0.90100000000000002</c:v>
                </c:pt>
                <c:pt idx="175">
                  <c:v>0.90090000000000003</c:v>
                </c:pt>
                <c:pt idx="176">
                  <c:v>0.90090000000000003</c:v>
                </c:pt>
                <c:pt idx="177">
                  <c:v>0.90100000000000002</c:v>
                </c:pt>
                <c:pt idx="178">
                  <c:v>0.9677</c:v>
                </c:pt>
                <c:pt idx="179">
                  <c:v>0.90080000000000005</c:v>
                </c:pt>
                <c:pt idx="180">
                  <c:v>0.90100000000000002</c:v>
                </c:pt>
                <c:pt idx="181">
                  <c:v>0.90090000000000003</c:v>
                </c:pt>
                <c:pt idx="182">
                  <c:v>1</c:v>
                </c:pt>
                <c:pt idx="183">
                  <c:v>0.90080000000000005</c:v>
                </c:pt>
                <c:pt idx="184">
                  <c:v>0.67689999999999995</c:v>
                </c:pt>
                <c:pt idx="185">
                  <c:v>0.90100000000000002</c:v>
                </c:pt>
                <c:pt idx="186">
                  <c:v>0.90080000000000005</c:v>
                </c:pt>
                <c:pt idx="187">
                  <c:v>0.90090000000000003</c:v>
                </c:pt>
                <c:pt idx="188">
                  <c:v>1</c:v>
                </c:pt>
                <c:pt idx="189">
                  <c:v>0.82620000000000005</c:v>
                </c:pt>
                <c:pt idx="190">
                  <c:v>0.90080000000000005</c:v>
                </c:pt>
                <c:pt idx="191">
                  <c:v>0.75160000000000005</c:v>
                </c:pt>
                <c:pt idx="192">
                  <c:v>0.90100000000000002</c:v>
                </c:pt>
                <c:pt idx="193">
                  <c:v>1</c:v>
                </c:pt>
                <c:pt idx="194">
                  <c:v>0.67689999999999995</c:v>
                </c:pt>
                <c:pt idx="195">
                  <c:v>0.67689999999999995</c:v>
                </c:pt>
                <c:pt idx="196">
                  <c:v>0.82689999999999997</c:v>
                </c:pt>
                <c:pt idx="197">
                  <c:v>0.82620000000000005</c:v>
                </c:pt>
                <c:pt idx="198">
                  <c:v>0.75160000000000005</c:v>
                </c:pt>
                <c:pt idx="199">
                  <c:v>1</c:v>
                </c:pt>
                <c:pt idx="200">
                  <c:v>0.78849999999999998</c:v>
                </c:pt>
                <c:pt idx="201">
                  <c:v>0.82620000000000005</c:v>
                </c:pt>
                <c:pt idx="202">
                  <c:v>0.67689999999999995</c:v>
                </c:pt>
                <c:pt idx="203">
                  <c:v>0.97019999999999995</c:v>
                </c:pt>
                <c:pt idx="204">
                  <c:v>0.67689999999999995</c:v>
                </c:pt>
                <c:pt idx="205">
                  <c:v>0.90080000000000005</c:v>
                </c:pt>
                <c:pt idx="206">
                  <c:v>0.75160000000000005</c:v>
                </c:pt>
                <c:pt idx="207">
                  <c:v>0.82620000000000005</c:v>
                </c:pt>
                <c:pt idx="208">
                  <c:v>0.82620000000000005</c:v>
                </c:pt>
                <c:pt idx="209">
                  <c:v>0.90090000000000003</c:v>
                </c:pt>
                <c:pt idx="210">
                  <c:v>0.82620000000000005</c:v>
                </c:pt>
                <c:pt idx="211">
                  <c:v>0.4078</c:v>
                </c:pt>
                <c:pt idx="212">
                  <c:v>0.59630000000000005</c:v>
                </c:pt>
                <c:pt idx="213">
                  <c:v>0.98580000000000001</c:v>
                </c:pt>
                <c:pt idx="214">
                  <c:v>1</c:v>
                </c:pt>
                <c:pt idx="215">
                  <c:v>0.60129999999999995</c:v>
                </c:pt>
                <c:pt idx="216">
                  <c:v>0.90080000000000005</c:v>
                </c:pt>
                <c:pt idx="217">
                  <c:v>0.60129999999999995</c:v>
                </c:pt>
                <c:pt idx="218">
                  <c:v>0.90100000000000002</c:v>
                </c:pt>
                <c:pt idx="219">
                  <c:v>0.90090000000000003</c:v>
                </c:pt>
                <c:pt idx="220">
                  <c:v>0.30620000000000003</c:v>
                </c:pt>
                <c:pt idx="221">
                  <c:v>0.91490000000000005</c:v>
                </c:pt>
                <c:pt idx="222">
                  <c:v>0.85529999999999995</c:v>
                </c:pt>
                <c:pt idx="223">
                  <c:v>1</c:v>
                </c:pt>
                <c:pt idx="224">
                  <c:v>0.90080000000000005</c:v>
                </c:pt>
                <c:pt idx="225">
                  <c:v>1</c:v>
                </c:pt>
                <c:pt idx="226">
                  <c:v>0.90080000000000005</c:v>
                </c:pt>
                <c:pt idx="227">
                  <c:v>0.61929999999999996</c:v>
                </c:pt>
                <c:pt idx="228">
                  <c:v>0.501</c:v>
                </c:pt>
                <c:pt idx="229">
                  <c:v>0.82620000000000005</c:v>
                </c:pt>
                <c:pt idx="230">
                  <c:v>0.91</c:v>
                </c:pt>
                <c:pt idx="231">
                  <c:v>0.60129999999999995</c:v>
                </c:pt>
                <c:pt idx="232">
                  <c:v>0.75160000000000005</c:v>
                </c:pt>
                <c:pt idx="233">
                  <c:v>0</c:v>
                </c:pt>
                <c:pt idx="234">
                  <c:v>0.90090000000000003</c:v>
                </c:pt>
                <c:pt idx="235">
                  <c:v>0.90100000000000002</c:v>
                </c:pt>
                <c:pt idx="236">
                  <c:v>0.36009999999999998</c:v>
                </c:pt>
                <c:pt idx="237">
                  <c:v>0.75160000000000005</c:v>
                </c:pt>
                <c:pt idx="238">
                  <c:v>0.90080000000000005</c:v>
                </c:pt>
                <c:pt idx="239">
                  <c:v>0.75160000000000005</c:v>
                </c:pt>
                <c:pt idx="240">
                  <c:v>1</c:v>
                </c:pt>
                <c:pt idx="241">
                  <c:v>0.90100000000000002</c:v>
                </c:pt>
                <c:pt idx="242">
                  <c:v>0.67689999999999995</c:v>
                </c:pt>
                <c:pt idx="243">
                  <c:v>0.60129999999999995</c:v>
                </c:pt>
                <c:pt idx="244">
                  <c:v>0.90100000000000002</c:v>
                </c:pt>
                <c:pt idx="245">
                  <c:v>0.86140000000000005</c:v>
                </c:pt>
                <c:pt idx="246">
                  <c:v>0.90510000000000002</c:v>
                </c:pt>
                <c:pt idx="247">
                  <c:v>0.75160000000000005</c:v>
                </c:pt>
                <c:pt idx="248">
                  <c:v>0.90080000000000005</c:v>
                </c:pt>
                <c:pt idx="249">
                  <c:v>0.60129999999999995</c:v>
                </c:pt>
                <c:pt idx="250">
                  <c:v>0.90139999999999998</c:v>
                </c:pt>
                <c:pt idx="251">
                  <c:v>0.90100000000000002</c:v>
                </c:pt>
                <c:pt idx="252">
                  <c:v>0.90100000000000002</c:v>
                </c:pt>
                <c:pt idx="253">
                  <c:v>0.501</c:v>
                </c:pt>
                <c:pt idx="254">
                  <c:v>0.90090000000000003</c:v>
                </c:pt>
                <c:pt idx="255">
                  <c:v>0.82620000000000005</c:v>
                </c:pt>
                <c:pt idx="256">
                  <c:v>0.77129999999999999</c:v>
                </c:pt>
                <c:pt idx="257">
                  <c:v>0.75160000000000005</c:v>
                </c:pt>
                <c:pt idx="258">
                  <c:v>0.82620000000000005</c:v>
                </c:pt>
                <c:pt idx="259">
                  <c:v>0.82620000000000005</c:v>
                </c:pt>
                <c:pt idx="260">
                  <c:v>0.75160000000000005</c:v>
                </c:pt>
                <c:pt idx="261">
                  <c:v>0.30620000000000003</c:v>
                </c:pt>
                <c:pt idx="262">
                  <c:v>1</c:v>
                </c:pt>
                <c:pt idx="263">
                  <c:v>0.90090000000000003</c:v>
                </c:pt>
                <c:pt idx="264">
                  <c:v>0.90090000000000003</c:v>
                </c:pt>
                <c:pt idx="265">
                  <c:v>0.75160000000000005</c:v>
                </c:pt>
                <c:pt idx="266">
                  <c:v>0.96060000000000001</c:v>
                </c:pt>
                <c:pt idx="267">
                  <c:v>0.90080000000000005</c:v>
                </c:pt>
                <c:pt idx="268">
                  <c:v>0.82620000000000005</c:v>
                </c:pt>
                <c:pt idx="269">
                  <c:v>0.90100000000000002</c:v>
                </c:pt>
                <c:pt idx="270">
                  <c:v>0.67689999999999995</c:v>
                </c:pt>
                <c:pt idx="271">
                  <c:v>0.81779999999999997</c:v>
                </c:pt>
                <c:pt idx="272">
                  <c:v>0.36009999999999998</c:v>
                </c:pt>
                <c:pt idx="273">
                  <c:v>0.67689999999999995</c:v>
                </c:pt>
                <c:pt idx="274">
                  <c:v>1</c:v>
                </c:pt>
                <c:pt idx="275">
                  <c:v>0.90100000000000002</c:v>
                </c:pt>
                <c:pt idx="276">
                  <c:v>0.501</c:v>
                </c:pt>
                <c:pt idx="277">
                  <c:v>0.68520000000000003</c:v>
                </c:pt>
                <c:pt idx="278">
                  <c:v>0.90100000000000002</c:v>
                </c:pt>
                <c:pt idx="279">
                  <c:v>0.3145</c:v>
                </c:pt>
                <c:pt idx="280">
                  <c:v>1</c:v>
                </c:pt>
                <c:pt idx="281">
                  <c:v>0.76870000000000005</c:v>
                </c:pt>
                <c:pt idx="282">
                  <c:v>0</c:v>
                </c:pt>
                <c:pt idx="283">
                  <c:v>0.90080000000000005</c:v>
                </c:pt>
                <c:pt idx="284">
                  <c:v>0.82620000000000005</c:v>
                </c:pt>
                <c:pt idx="285">
                  <c:v>0.80800000000000005</c:v>
                </c:pt>
                <c:pt idx="286">
                  <c:v>0.90090000000000003</c:v>
                </c:pt>
                <c:pt idx="287">
                  <c:v>1</c:v>
                </c:pt>
                <c:pt idx="288">
                  <c:v>0.90080000000000005</c:v>
                </c:pt>
                <c:pt idx="289">
                  <c:v>0.90100000000000002</c:v>
                </c:pt>
                <c:pt idx="290">
                  <c:v>0.90100000000000002</c:v>
                </c:pt>
                <c:pt idx="291">
                  <c:v>0.90100000000000002</c:v>
                </c:pt>
                <c:pt idx="292">
                  <c:v>0.8236</c:v>
                </c:pt>
                <c:pt idx="293">
                  <c:v>0.501</c:v>
                </c:pt>
                <c:pt idx="294">
                  <c:v>0.90100000000000002</c:v>
                </c:pt>
                <c:pt idx="295">
                  <c:v>0.90080000000000005</c:v>
                </c:pt>
                <c:pt idx="296">
                  <c:v>0.82620000000000005</c:v>
                </c:pt>
                <c:pt idx="297">
                  <c:v>0.82620000000000005</c:v>
                </c:pt>
                <c:pt idx="298">
                  <c:v>0.93210000000000004</c:v>
                </c:pt>
                <c:pt idx="299">
                  <c:v>0.75160000000000005</c:v>
                </c:pt>
                <c:pt idx="300">
                  <c:v>0.90100000000000002</c:v>
                </c:pt>
                <c:pt idx="301">
                  <c:v>0.75160000000000005</c:v>
                </c:pt>
                <c:pt idx="302">
                  <c:v>0.90080000000000005</c:v>
                </c:pt>
                <c:pt idx="303">
                  <c:v>0.3967</c:v>
                </c:pt>
                <c:pt idx="304">
                  <c:v>0.95030000000000003</c:v>
                </c:pt>
                <c:pt idx="305">
                  <c:v>0.82620000000000005</c:v>
                </c:pt>
                <c:pt idx="306">
                  <c:v>0.60129999999999995</c:v>
                </c:pt>
                <c:pt idx="307">
                  <c:v>0.90080000000000005</c:v>
                </c:pt>
                <c:pt idx="308">
                  <c:v>1</c:v>
                </c:pt>
                <c:pt idx="309">
                  <c:v>0.75160000000000005</c:v>
                </c:pt>
                <c:pt idx="310">
                  <c:v>1</c:v>
                </c:pt>
                <c:pt idx="311">
                  <c:v>0.90059999999999996</c:v>
                </c:pt>
                <c:pt idx="312">
                  <c:v>0.90100000000000002</c:v>
                </c:pt>
                <c:pt idx="313">
                  <c:v>0.90080000000000005</c:v>
                </c:pt>
                <c:pt idx="314">
                  <c:v>0.90080000000000005</c:v>
                </c:pt>
                <c:pt idx="315">
                  <c:v>0.82620000000000005</c:v>
                </c:pt>
                <c:pt idx="316">
                  <c:v>0.82620000000000005</c:v>
                </c:pt>
                <c:pt idx="317">
                  <c:v>0.90080000000000005</c:v>
                </c:pt>
                <c:pt idx="318">
                  <c:v>0.67689999999999995</c:v>
                </c:pt>
                <c:pt idx="319">
                  <c:v>0.90080000000000005</c:v>
                </c:pt>
                <c:pt idx="320">
                  <c:v>0.90100000000000002</c:v>
                </c:pt>
                <c:pt idx="321">
                  <c:v>0.90080000000000005</c:v>
                </c:pt>
                <c:pt idx="322">
                  <c:v>0.78969999999999996</c:v>
                </c:pt>
                <c:pt idx="323">
                  <c:v>1</c:v>
                </c:pt>
                <c:pt idx="324">
                  <c:v>0.82620000000000005</c:v>
                </c:pt>
                <c:pt idx="325">
                  <c:v>0.58930000000000005</c:v>
                </c:pt>
                <c:pt idx="326">
                  <c:v>0.67689999999999995</c:v>
                </c:pt>
                <c:pt idx="327">
                  <c:v>1</c:v>
                </c:pt>
                <c:pt idx="328">
                  <c:v>0.82620000000000005</c:v>
                </c:pt>
                <c:pt idx="329">
                  <c:v>0.9627</c:v>
                </c:pt>
                <c:pt idx="330">
                  <c:v>0</c:v>
                </c:pt>
                <c:pt idx="331">
                  <c:v>0.501</c:v>
                </c:pt>
                <c:pt idx="332">
                  <c:v>0.82620000000000005</c:v>
                </c:pt>
                <c:pt idx="333">
                  <c:v>0</c:v>
                </c:pt>
                <c:pt idx="334">
                  <c:v>0.60129999999999995</c:v>
                </c:pt>
                <c:pt idx="335">
                  <c:v>0.75160000000000005</c:v>
                </c:pt>
                <c:pt idx="336">
                  <c:v>0.9012</c:v>
                </c:pt>
                <c:pt idx="337">
                  <c:v>0.90100000000000002</c:v>
                </c:pt>
                <c:pt idx="338">
                  <c:v>0.93269999999999997</c:v>
                </c:pt>
                <c:pt idx="339">
                  <c:v>0.93430000000000002</c:v>
                </c:pt>
                <c:pt idx="340">
                  <c:v>0.90080000000000005</c:v>
                </c:pt>
                <c:pt idx="341">
                  <c:v>0.90090000000000003</c:v>
                </c:pt>
                <c:pt idx="342">
                  <c:v>0.82620000000000005</c:v>
                </c:pt>
                <c:pt idx="343">
                  <c:v>0.90090000000000003</c:v>
                </c:pt>
                <c:pt idx="344">
                  <c:v>0.90080000000000005</c:v>
                </c:pt>
                <c:pt idx="345">
                  <c:v>0.75160000000000005</c:v>
                </c:pt>
                <c:pt idx="346">
                  <c:v>0.501</c:v>
                </c:pt>
                <c:pt idx="347">
                  <c:v>0.90080000000000005</c:v>
                </c:pt>
                <c:pt idx="348">
                  <c:v>0.90080000000000005</c:v>
                </c:pt>
                <c:pt idx="349">
                  <c:v>0.82620000000000005</c:v>
                </c:pt>
                <c:pt idx="350">
                  <c:v>0.90100000000000002</c:v>
                </c:pt>
                <c:pt idx="351">
                  <c:v>0.90080000000000005</c:v>
                </c:pt>
                <c:pt idx="352">
                  <c:v>0.82620000000000005</c:v>
                </c:pt>
                <c:pt idx="353">
                  <c:v>0.67689999999999995</c:v>
                </c:pt>
                <c:pt idx="354">
                  <c:v>0.82620000000000005</c:v>
                </c:pt>
                <c:pt idx="355">
                  <c:v>0.82620000000000005</c:v>
                </c:pt>
                <c:pt idx="356">
                  <c:v>0.90080000000000005</c:v>
                </c:pt>
                <c:pt idx="357">
                  <c:v>0.501</c:v>
                </c:pt>
                <c:pt idx="358">
                  <c:v>0.90090000000000003</c:v>
                </c:pt>
                <c:pt idx="359">
                  <c:v>0.90080000000000005</c:v>
                </c:pt>
                <c:pt idx="360">
                  <c:v>0.55369999999999997</c:v>
                </c:pt>
                <c:pt idx="361">
                  <c:v>0.90100000000000002</c:v>
                </c:pt>
                <c:pt idx="362">
                  <c:v>0.90080000000000005</c:v>
                </c:pt>
                <c:pt idx="363">
                  <c:v>0.501</c:v>
                </c:pt>
                <c:pt idx="364">
                  <c:v>0.75160000000000005</c:v>
                </c:pt>
                <c:pt idx="365">
                  <c:v>0.82620000000000005</c:v>
                </c:pt>
                <c:pt idx="366">
                  <c:v>0.67689999999999995</c:v>
                </c:pt>
                <c:pt idx="367">
                  <c:v>0.67689999999999995</c:v>
                </c:pt>
                <c:pt idx="368">
                  <c:v>0.90080000000000005</c:v>
                </c:pt>
                <c:pt idx="369">
                  <c:v>0.90100000000000002</c:v>
                </c:pt>
                <c:pt idx="370">
                  <c:v>0.90100000000000002</c:v>
                </c:pt>
                <c:pt idx="371">
                  <c:v>0.501</c:v>
                </c:pt>
                <c:pt idx="372">
                  <c:v>0.90080000000000005</c:v>
                </c:pt>
                <c:pt idx="373">
                  <c:v>0.82620000000000005</c:v>
                </c:pt>
                <c:pt idx="374">
                  <c:v>1</c:v>
                </c:pt>
                <c:pt idx="375">
                  <c:v>0.75160000000000005</c:v>
                </c:pt>
                <c:pt idx="376">
                  <c:v>0.82620000000000005</c:v>
                </c:pt>
                <c:pt idx="377">
                  <c:v>1</c:v>
                </c:pt>
                <c:pt idx="378">
                  <c:v>0.82620000000000005</c:v>
                </c:pt>
                <c:pt idx="379">
                  <c:v>0.501</c:v>
                </c:pt>
                <c:pt idx="380">
                  <c:v>0.90080000000000005</c:v>
                </c:pt>
                <c:pt idx="381">
                  <c:v>0.82620000000000005</c:v>
                </c:pt>
                <c:pt idx="382">
                  <c:v>0.75160000000000005</c:v>
                </c:pt>
                <c:pt idx="383">
                  <c:v>0.82620000000000005</c:v>
                </c:pt>
                <c:pt idx="384">
                  <c:v>0.90080000000000005</c:v>
                </c:pt>
                <c:pt idx="385">
                  <c:v>0.90100000000000002</c:v>
                </c:pt>
                <c:pt idx="386">
                  <c:v>0.90100000000000002</c:v>
                </c:pt>
                <c:pt idx="387">
                  <c:v>0.90100000000000002</c:v>
                </c:pt>
                <c:pt idx="388">
                  <c:v>0.501</c:v>
                </c:pt>
                <c:pt idx="389">
                  <c:v>1</c:v>
                </c:pt>
                <c:pt idx="390">
                  <c:v>0.50109999999999999</c:v>
                </c:pt>
                <c:pt idx="391">
                  <c:v>1</c:v>
                </c:pt>
                <c:pt idx="392">
                  <c:v>0.90080000000000005</c:v>
                </c:pt>
                <c:pt idx="393">
                  <c:v>0.36009999999999998</c:v>
                </c:pt>
                <c:pt idx="394">
                  <c:v>0.60129999999999995</c:v>
                </c:pt>
                <c:pt idx="395">
                  <c:v>0.90080000000000005</c:v>
                </c:pt>
                <c:pt idx="396">
                  <c:v>0.75160000000000005</c:v>
                </c:pt>
                <c:pt idx="397">
                  <c:v>0.90100000000000002</c:v>
                </c:pt>
                <c:pt idx="398">
                  <c:v>0.82620000000000005</c:v>
                </c:pt>
                <c:pt idx="399">
                  <c:v>1</c:v>
                </c:pt>
                <c:pt idx="400">
                  <c:v>0.90080000000000005</c:v>
                </c:pt>
                <c:pt idx="401">
                  <c:v>0.82620000000000005</c:v>
                </c:pt>
                <c:pt idx="402">
                  <c:v>0.75160000000000005</c:v>
                </c:pt>
                <c:pt idx="403">
                  <c:v>0.36009999999999998</c:v>
                </c:pt>
                <c:pt idx="404">
                  <c:v>0.75160000000000005</c:v>
                </c:pt>
                <c:pt idx="405">
                  <c:v>0.75160000000000005</c:v>
                </c:pt>
                <c:pt idx="406">
                  <c:v>0.36649999999999999</c:v>
                </c:pt>
                <c:pt idx="407">
                  <c:v>0.90080000000000005</c:v>
                </c:pt>
                <c:pt idx="408">
                  <c:v>0.82620000000000005</c:v>
                </c:pt>
                <c:pt idx="409">
                  <c:v>0.75160000000000005</c:v>
                </c:pt>
                <c:pt idx="410">
                  <c:v>1</c:v>
                </c:pt>
                <c:pt idx="411">
                  <c:v>0.67689999999999995</c:v>
                </c:pt>
                <c:pt idx="412">
                  <c:v>0.501</c:v>
                </c:pt>
                <c:pt idx="413">
                  <c:v>0.82620000000000005</c:v>
                </c:pt>
                <c:pt idx="414">
                  <c:v>0.60129999999999995</c:v>
                </c:pt>
                <c:pt idx="415">
                  <c:v>0.60129999999999995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AF-4ACA-88E4-FEA2B0161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87232"/>
        <c:axId val="126285696"/>
      </c:scatterChart>
      <c:dateAx>
        <c:axId val="126269696"/>
        <c:scaling>
          <c:orientation val="minMax"/>
          <c:max val="75"/>
          <c:min val="2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126284160"/>
        <c:crossesAt val="0"/>
        <c:auto val="0"/>
        <c:lblOffset val="100"/>
        <c:baseTimeUnit val="days"/>
        <c:majorUnit val="5"/>
      </c:dateAx>
      <c:valAx>
        <c:axId val="126284160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126269696"/>
        <c:crosses val="autoZero"/>
        <c:crossBetween val="midCat"/>
        <c:majorUnit val="0.2"/>
      </c:valAx>
      <c:valAx>
        <c:axId val="126285696"/>
        <c:scaling>
          <c:orientation val="minMax"/>
          <c:max val="1"/>
          <c:min val="0"/>
        </c:scaling>
        <c:delete val="0"/>
        <c:axPos val="r"/>
        <c:numFmt formatCode="0.0000" sourceLinked="1"/>
        <c:majorTickMark val="none"/>
        <c:minorTickMark val="none"/>
        <c:tickLblPos val="none"/>
        <c:spPr>
          <a:ln>
            <a:noFill/>
          </a:ln>
        </c:spPr>
        <c:crossAx val="126287232"/>
        <c:crosses val="max"/>
        <c:crossBetween val="midCat"/>
        <c:majorUnit val="0.2"/>
      </c:valAx>
      <c:valAx>
        <c:axId val="126287232"/>
        <c:scaling>
          <c:orientation val="minMax"/>
          <c:max val="75"/>
          <c:min val="25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>
            <a:noFill/>
          </a:ln>
        </c:spPr>
        <c:crossAx val="126285696"/>
        <c:crosses val="autoZero"/>
        <c:crossBetween val="midCat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951354199004695E-2"/>
          <c:y val="2.1189304461942258E-2"/>
          <c:w val="0.92961340181939622"/>
          <c:h val="0.91985236220472444"/>
        </c:manualLayout>
      </c:layout>
      <c:areaChart>
        <c:grouping val="standard"/>
        <c:varyColors val="0"/>
        <c:ser>
          <c:idx val="3"/>
          <c:order val="1"/>
          <c:tx>
            <c:strRef>
              <c:f>'20'!$I$5</c:f>
              <c:strCache>
                <c:ptCount val="1"/>
                <c:pt idx="0">
                  <c:v>Outer Max</c:v>
                </c:pt>
              </c:strCache>
            </c:strRef>
          </c:tx>
          <c:spPr>
            <a:solidFill>
              <a:srgbClr val="FFCD00"/>
            </a:solidFill>
            <a:ln w="28575">
              <a:noFill/>
            </a:ln>
          </c:spPr>
          <c:cat>
            <c:numRef>
              <c:f>'20'!$E$6:$E$66</c:f>
              <c:numCache>
                <c:formatCode>General</c:formatCode>
                <c:ptCount val="6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</c:numCache>
            </c:numRef>
          </c:cat>
          <c:val>
            <c:numRef>
              <c:f>'20'!$I$6:$I$66</c:f>
              <c:numCache>
                <c:formatCode>General</c:formatCode>
                <c:ptCount val="61"/>
                <c:pt idx="0">
                  <c:v>0.99</c:v>
                </c:pt>
                <c:pt idx="1">
                  <c:v>0.99</c:v>
                </c:pt>
                <c:pt idx="2">
                  <c:v>0.99</c:v>
                </c:pt>
                <c:pt idx="3">
                  <c:v>0.99</c:v>
                </c:pt>
                <c:pt idx="4">
                  <c:v>0.99</c:v>
                </c:pt>
                <c:pt idx="5">
                  <c:v>0.99</c:v>
                </c:pt>
                <c:pt idx="6">
                  <c:v>0.99</c:v>
                </c:pt>
                <c:pt idx="7">
                  <c:v>0.99</c:v>
                </c:pt>
                <c:pt idx="8">
                  <c:v>0.99</c:v>
                </c:pt>
                <c:pt idx="9">
                  <c:v>0.99</c:v>
                </c:pt>
                <c:pt idx="10">
                  <c:v>0.99</c:v>
                </c:pt>
                <c:pt idx="11">
                  <c:v>0.99</c:v>
                </c:pt>
                <c:pt idx="12">
                  <c:v>0.99</c:v>
                </c:pt>
                <c:pt idx="13">
                  <c:v>0.99</c:v>
                </c:pt>
                <c:pt idx="14">
                  <c:v>0.99</c:v>
                </c:pt>
                <c:pt idx="15">
                  <c:v>0.99</c:v>
                </c:pt>
                <c:pt idx="16">
                  <c:v>0.99</c:v>
                </c:pt>
                <c:pt idx="17">
                  <c:v>0.99</c:v>
                </c:pt>
                <c:pt idx="18">
                  <c:v>0.99</c:v>
                </c:pt>
                <c:pt idx="19">
                  <c:v>0.99</c:v>
                </c:pt>
                <c:pt idx="20">
                  <c:v>0.99</c:v>
                </c:pt>
                <c:pt idx="21">
                  <c:v>0.99</c:v>
                </c:pt>
                <c:pt idx="22">
                  <c:v>0.99</c:v>
                </c:pt>
                <c:pt idx="23">
                  <c:v>0.99</c:v>
                </c:pt>
                <c:pt idx="24">
                  <c:v>0.99</c:v>
                </c:pt>
                <c:pt idx="25">
                  <c:v>0.99</c:v>
                </c:pt>
                <c:pt idx="26">
                  <c:v>0.99</c:v>
                </c:pt>
                <c:pt idx="27">
                  <c:v>0.99</c:v>
                </c:pt>
                <c:pt idx="28">
                  <c:v>0.99</c:v>
                </c:pt>
                <c:pt idx="29">
                  <c:v>0.9667</c:v>
                </c:pt>
                <c:pt idx="30">
                  <c:v>0.93759999999999999</c:v>
                </c:pt>
                <c:pt idx="31">
                  <c:v>0.90839999999999999</c:v>
                </c:pt>
                <c:pt idx="32">
                  <c:v>0.89229999999999998</c:v>
                </c:pt>
                <c:pt idx="33">
                  <c:v>0.88059999999999994</c:v>
                </c:pt>
                <c:pt idx="34">
                  <c:v>0.86890000000000001</c:v>
                </c:pt>
                <c:pt idx="35">
                  <c:v>0.85729999999999995</c:v>
                </c:pt>
                <c:pt idx="36">
                  <c:v>0.84559999999999991</c:v>
                </c:pt>
                <c:pt idx="37">
                  <c:v>0.83409999999999995</c:v>
                </c:pt>
                <c:pt idx="38">
                  <c:v>0.82240000000000002</c:v>
                </c:pt>
                <c:pt idx="39">
                  <c:v>0.81069999999999998</c:v>
                </c:pt>
                <c:pt idx="40">
                  <c:v>0.7992999999999999</c:v>
                </c:pt>
                <c:pt idx="41">
                  <c:v>0.78769999999999996</c:v>
                </c:pt>
                <c:pt idx="42">
                  <c:v>0.7710999999999999</c:v>
                </c:pt>
                <c:pt idx="43">
                  <c:v>0.753</c:v>
                </c:pt>
                <c:pt idx="44">
                  <c:v>0.73499999999999999</c:v>
                </c:pt>
                <c:pt idx="45">
                  <c:v>0.71709999999999996</c:v>
                </c:pt>
                <c:pt idx="46">
                  <c:v>0.69910000000000005</c:v>
                </c:pt>
                <c:pt idx="47">
                  <c:v>0.68110000000000004</c:v>
                </c:pt>
                <c:pt idx="48">
                  <c:v>0.66339999999999999</c:v>
                </c:pt>
                <c:pt idx="49">
                  <c:v>0.64569999999999994</c:v>
                </c:pt>
                <c:pt idx="50">
                  <c:v>0.628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8-4C44-B95E-BDED4B5965FB}"/>
            </c:ext>
          </c:extLst>
        </c:ser>
        <c:ser>
          <c:idx val="2"/>
          <c:order val="2"/>
          <c:tx>
            <c:strRef>
              <c:f>'20'!$G$5</c:f>
              <c:strCache>
                <c:ptCount val="1"/>
                <c:pt idx="0">
                  <c:v>Inner Max</c:v>
                </c:pt>
              </c:strCache>
            </c:strRef>
          </c:tx>
          <c:spPr>
            <a:solidFill>
              <a:srgbClr val="3C8A2E"/>
            </a:solidFill>
            <a:ln w="28575">
              <a:noFill/>
            </a:ln>
          </c:spPr>
          <c:cat>
            <c:numRef>
              <c:f>'20'!$E$6:$E$66</c:f>
              <c:numCache>
                <c:formatCode>General</c:formatCode>
                <c:ptCount val="6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</c:numCache>
            </c:numRef>
          </c:cat>
          <c:val>
            <c:numRef>
              <c:f>'20'!$G$6:$G$66</c:f>
              <c:numCache>
                <c:formatCode>General</c:formatCode>
                <c:ptCount val="61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0.94689999999999996</c:v>
                </c:pt>
                <c:pt idx="25">
                  <c:v>0.92520000000000002</c:v>
                </c:pt>
                <c:pt idx="26">
                  <c:v>0.90359999999999996</c:v>
                </c:pt>
                <c:pt idx="27">
                  <c:v>0.876</c:v>
                </c:pt>
                <c:pt idx="28">
                  <c:v>0.84619999999999995</c:v>
                </c:pt>
                <c:pt idx="29">
                  <c:v>0.81669999999999998</c:v>
                </c:pt>
                <c:pt idx="30">
                  <c:v>0.78759999999999997</c:v>
                </c:pt>
                <c:pt idx="31">
                  <c:v>0.75839999999999996</c:v>
                </c:pt>
                <c:pt idx="32">
                  <c:v>0.74229999999999996</c:v>
                </c:pt>
                <c:pt idx="33">
                  <c:v>0.73060000000000003</c:v>
                </c:pt>
                <c:pt idx="34">
                  <c:v>0.71889999999999998</c:v>
                </c:pt>
                <c:pt idx="35">
                  <c:v>0.70730000000000004</c:v>
                </c:pt>
                <c:pt idx="36">
                  <c:v>0.6956</c:v>
                </c:pt>
                <c:pt idx="37">
                  <c:v>0.68410000000000004</c:v>
                </c:pt>
                <c:pt idx="38">
                  <c:v>0.6724</c:v>
                </c:pt>
                <c:pt idx="39">
                  <c:v>0.66069999999999995</c:v>
                </c:pt>
                <c:pt idx="40">
                  <c:v>0.64929999999999999</c:v>
                </c:pt>
                <c:pt idx="41">
                  <c:v>0.63770000000000004</c:v>
                </c:pt>
                <c:pt idx="42">
                  <c:v>0.62109999999999999</c:v>
                </c:pt>
                <c:pt idx="43">
                  <c:v>0.60299999999999998</c:v>
                </c:pt>
                <c:pt idx="44">
                  <c:v>0.58499999999999996</c:v>
                </c:pt>
                <c:pt idx="45">
                  <c:v>0.56710000000000005</c:v>
                </c:pt>
                <c:pt idx="46">
                  <c:v>0.54910000000000003</c:v>
                </c:pt>
                <c:pt idx="47">
                  <c:v>0.53110000000000002</c:v>
                </c:pt>
                <c:pt idx="48">
                  <c:v>0.51339999999999997</c:v>
                </c:pt>
                <c:pt idx="49">
                  <c:v>0.49569999999999997</c:v>
                </c:pt>
                <c:pt idx="50">
                  <c:v>0.47799999999999998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C8-4C44-B95E-BDED4B5965FB}"/>
            </c:ext>
          </c:extLst>
        </c:ser>
        <c:ser>
          <c:idx val="1"/>
          <c:order val="3"/>
          <c:tx>
            <c:strRef>
              <c:f>'20'!$F$5</c:f>
              <c:strCache>
                <c:ptCount val="1"/>
                <c:pt idx="0">
                  <c:v>Inner Min</c:v>
                </c:pt>
              </c:strCache>
            </c:strRef>
          </c:tx>
          <c:spPr>
            <a:solidFill>
              <a:srgbClr val="FFCD00"/>
            </a:solidFill>
            <a:ln w="28575">
              <a:noFill/>
            </a:ln>
            <a:effectLst/>
          </c:spPr>
          <c:cat>
            <c:numRef>
              <c:f>'20'!$E$6:$E$66</c:f>
              <c:numCache>
                <c:formatCode>General</c:formatCode>
                <c:ptCount val="6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</c:numCache>
            </c:numRef>
          </c:cat>
          <c:val>
            <c:numRef>
              <c:f>'20'!$F$6:$F$66</c:f>
              <c:numCache>
                <c:formatCode>General</c:formatCode>
                <c:ptCount val="6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0.78859999999999997</c:v>
                </c:pt>
                <c:pt idx="23">
                  <c:v>0.76859999999999995</c:v>
                </c:pt>
                <c:pt idx="24">
                  <c:v>0.74690000000000001</c:v>
                </c:pt>
                <c:pt idx="25">
                  <c:v>0.72519999999999996</c:v>
                </c:pt>
                <c:pt idx="26">
                  <c:v>0.7036</c:v>
                </c:pt>
                <c:pt idx="27">
                  <c:v>0.67600000000000005</c:v>
                </c:pt>
                <c:pt idx="28">
                  <c:v>0.6462</c:v>
                </c:pt>
                <c:pt idx="29">
                  <c:v>0.61670000000000003</c:v>
                </c:pt>
                <c:pt idx="30">
                  <c:v>0.58760000000000001</c:v>
                </c:pt>
                <c:pt idx="31">
                  <c:v>0.55840000000000001</c:v>
                </c:pt>
                <c:pt idx="32">
                  <c:v>0.5423</c:v>
                </c:pt>
                <c:pt idx="33">
                  <c:v>0.53059999999999996</c:v>
                </c:pt>
                <c:pt idx="34">
                  <c:v>0.51890000000000003</c:v>
                </c:pt>
                <c:pt idx="35">
                  <c:v>0.50729999999999997</c:v>
                </c:pt>
                <c:pt idx="36">
                  <c:v>0.49559999999999998</c:v>
                </c:pt>
                <c:pt idx="37">
                  <c:v>0.48409999999999997</c:v>
                </c:pt>
                <c:pt idx="38">
                  <c:v>0.47239999999999999</c:v>
                </c:pt>
                <c:pt idx="39">
                  <c:v>0.4607</c:v>
                </c:pt>
                <c:pt idx="40">
                  <c:v>0.44929999999999998</c:v>
                </c:pt>
                <c:pt idx="41">
                  <c:v>0.43769999999999998</c:v>
                </c:pt>
                <c:pt idx="42">
                  <c:v>0.42109999999999997</c:v>
                </c:pt>
                <c:pt idx="43">
                  <c:v>0.40300000000000002</c:v>
                </c:pt>
                <c:pt idx="44">
                  <c:v>0.38500000000000001</c:v>
                </c:pt>
                <c:pt idx="45">
                  <c:v>0.36709999999999998</c:v>
                </c:pt>
                <c:pt idx="46">
                  <c:v>0.34910000000000002</c:v>
                </c:pt>
                <c:pt idx="47">
                  <c:v>0.33110000000000001</c:v>
                </c:pt>
                <c:pt idx="48">
                  <c:v>0.31340000000000001</c:v>
                </c:pt>
                <c:pt idx="49">
                  <c:v>0.29570000000000002</c:v>
                </c:pt>
                <c:pt idx="50">
                  <c:v>0.27800000000000002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C8-4C44-B95E-BDED4B5965FB}"/>
            </c:ext>
          </c:extLst>
        </c:ser>
        <c:ser>
          <c:idx val="4"/>
          <c:order val="4"/>
          <c:tx>
            <c:strRef>
              <c:f>'20'!$H$5</c:f>
              <c:strCache>
                <c:ptCount val="1"/>
                <c:pt idx="0">
                  <c:v>Outer Min</c:v>
                </c:pt>
              </c:strCache>
            </c:strRef>
          </c:tx>
          <c:spPr>
            <a:solidFill>
              <a:schemeClr val="bg1"/>
            </a:solidFill>
            <a:ln w="25400">
              <a:solidFill>
                <a:schemeClr val="bg1"/>
              </a:solidFill>
            </a:ln>
          </c:spPr>
          <c:val>
            <c:numRef>
              <c:f>'20'!$H$6:$H$66</c:f>
              <c:numCache>
                <c:formatCode>General</c:formatCode>
                <c:ptCount val="61"/>
                <c:pt idx="0">
                  <c:v>0.65</c:v>
                </c:pt>
                <c:pt idx="1">
                  <c:v>0.65</c:v>
                </c:pt>
                <c:pt idx="2">
                  <c:v>0.65</c:v>
                </c:pt>
                <c:pt idx="3">
                  <c:v>0.65</c:v>
                </c:pt>
                <c:pt idx="4">
                  <c:v>0.65</c:v>
                </c:pt>
                <c:pt idx="5">
                  <c:v>0.65</c:v>
                </c:pt>
                <c:pt idx="6">
                  <c:v>0.65</c:v>
                </c:pt>
                <c:pt idx="7">
                  <c:v>0.65</c:v>
                </c:pt>
                <c:pt idx="8">
                  <c:v>0.65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0.65</c:v>
                </c:pt>
                <c:pt idx="18">
                  <c:v>0.65</c:v>
                </c:pt>
                <c:pt idx="19">
                  <c:v>0.65</c:v>
                </c:pt>
                <c:pt idx="20">
                  <c:v>0.65</c:v>
                </c:pt>
                <c:pt idx="21">
                  <c:v>0.65</c:v>
                </c:pt>
                <c:pt idx="22">
                  <c:v>0.63859999999999995</c:v>
                </c:pt>
                <c:pt idx="23">
                  <c:v>0.61859999999999993</c:v>
                </c:pt>
                <c:pt idx="24">
                  <c:v>0.59689999999999999</c:v>
                </c:pt>
                <c:pt idx="25">
                  <c:v>0.57519999999999993</c:v>
                </c:pt>
                <c:pt idx="26">
                  <c:v>0.55359999999999998</c:v>
                </c:pt>
                <c:pt idx="27">
                  <c:v>0.52600000000000002</c:v>
                </c:pt>
                <c:pt idx="28">
                  <c:v>0.49619999999999997</c:v>
                </c:pt>
                <c:pt idx="29">
                  <c:v>0.4667</c:v>
                </c:pt>
                <c:pt idx="30">
                  <c:v>0.43759999999999999</c:v>
                </c:pt>
                <c:pt idx="31">
                  <c:v>0.40839999999999999</c:v>
                </c:pt>
                <c:pt idx="32">
                  <c:v>0.39229999999999998</c:v>
                </c:pt>
                <c:pt idx="33">
                  <c:v>0.38059999999999994</c:v>
                </c:pt>
                <c:pt idx="34">
                  <c:v>0.36890000000000001</c:v>
                </c:pt>
                <c:pt idx="35">
                  <c:v>0.35729999999999995</c:v>
                </c:pt>
                <c:pt idx="36">
                  <c:v>0.34560000000000002</c:v>
                </c:pt>
                <c:pt idx="37">
                  <c:v>0.33409999999999995</c:v>
                </c:pt>
                <c:pt idx="38">
                  <c:v>0.32240000000000002</c:v>
                </c:pt>
                <c:pt idx="39">
                  <c:v>0.31069999999999998</c:v>
                </c:pt>
                <c:pt idx="40">
                  <c:v>0.29930000000000001</c:v>
                </c:pt>
                <c:pt idx="41">
                  <c:v>0.28769999999999996</c:v>
                </c:pt>
                <c:pt idx="42">
                  <c:v>0.27110000000000001</c:v>
                </c:pt>
                <c:pt idx="43">
                  <c:v>0.253</c:v>
                </c:pt>
                <c:pt idx="44">
                  <c:v>0.23500000000000001</c:v>
                </c:pt>
                <c:pt idx="45">
                  <c:v>0.21709999999999999</c:v>
                </c:pt>
                <c:pt idx="46">
                  <c:v>0.19910000000000003</c:v>
                </c:pt>
                <c:pt idx="47">
                  <c:v>0.18110000000000001</c:v>
                </c:pt>
                <c:pt idx="48">
                  <c:v>0.16340000000000002</c:v>
                </c:pt>
                <c:pt idx="49">
                  <c:v>0.14570000000000002</c:v>
                </c:pt>
                <c:pt idx="50">
                  <c:v>0.12800000000000003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C8-4C44-B95E-BDED4B596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886656"/>
        <c:axId val="126888576"/>
      </c:areaChart>
      <c:scatterChart>
        <c:scatterStyle val="lineMarker"/>
        <c:varyColors val="0"/>
        <c:ser>
          <c:idx val="0"/>
          <c:order val="0"/>
          <c:tx>
            <c:strRef>
              <c:f>'20'!$B$4</c:f>
              <c:strCache>
                <c:ptCount val="1"/>
                <c:pt idx="0">
                  <c:v>Scatter Series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4"/>
            <c:spPr>
              <a:solidFill>
                <a:schemeClr val="tx1">
                  <a:alpha val="50000"/>
                </a:schemeClr>
              </a:solidFill>
              <a:ln>
                <a:noFill/>
              </a:ln>
            </c:spPr>
          </c:marker>
          <c:xVal>
            <c:numRef>
              <c:f>'20'!$B$6:$B$5005</c:f>
              <c:numCache>
                <c:formatCode>0.0</c:formatCode>
                <c:ptCount val="5000"/>
                <c:pt idx="0">
                  <c:v>47.241999999999997</c:v>
                </c:pt>
                <c:pt idx="1">
                  <c:v>47.472000000000001</c:v>
                </c:pt>
                <c:pt idx="2">
                  <c:v>44.006</c:v>
                </c:pt>
                <c:pt idx="3">
                  <c:v>38.723999999999997</c:v>
                </c:pt>
                <c:pt idx="4">
                  <c:v>67.902000000000001</c:v>
                </c:pt>
                <c:pt idx="5">
                  <c:v>29.489000000000001</c:v>
                </c:pt>
                <c:pt idx="6">
                  <c:v>65.887</c:v>
                </c:pt>
                <c:pt idx="7">
                  <c:v>48.591999999999999</c:v>
                </c:pt>
                <c:pt idx="8">
                  <c:v>39.698999999999998</c:v>
                </c:pt>
                <c:pt idx="9">
                  <c:v>57.787999999999997</c:v>
                </c:pt>
                <c:pt idx="10">
                  <c:v>51.088000000000001</c:v>
                </c:pt>
                <c:pt idx="11">
                  <c:v>30.315999999999999</c:v>
                </c:pt>
                <c:pt idx="12">
                  <c:v>33.295000000000002</c:v>
                </c:pt>
                <c:pt idx="13">
                  <c:v>49.844999999999999</c:v>
                </c:pt>
                <c:pt idx="14">
                  <c:v>67.497</c:v>
                </c:pt>
                <c:pt idx="15">
                  <c:v>43.874000000000002</c:v>
                </c:pt>
                <c:pt idx="16">
                  <c:v>36.722999999999999</c:v>
                </c:pt>
                <c:pt idx="17">
                  <c:v>70.013000000000005</c:v>
                </c:pt>
                <c:pt idx="18">
                  <c:v>46.408999999999999</c:v>
                </c:pt>
                <c:pt idx="19">
                  <c:v>43.491</c:v>
                </c:pt>
                <c:pt idx="20">
                  <c:v>34.883000000000003</c:v>
                </c:pt>
                <c:pt idx="21">
                  <c:v>34.133000000000003</c:v>
                </c:pt>
                <c:pt idx="22">
                  <c:v>60.173000000000002</c:v>
                </c:pt>
                <c:pt idx="23">
                  <c:v>57.845999999999997</c:v>
                </c:pt>
                <c:pt idx="24">
                  <c:v>38.1</c:v>
                </c:pt>
                <c:pt idx="25">
                  <c:v>34.838999999999999</c:v>
                </c:pt>
                <c:pt idx="26">
                  <c:v>36.234999999999999</c:v>
                </c:pt>
                <c:pt idx="27">
                  <c:v>48.89</c:v>
                </c:pt>
                <c:pt idx="28">
                  <c:v>44.11</c:v>
                </c:pt>
                <c:pt idx="29">
                  <c:v>61.741999999999997</c:v>
                </c:pt>
                <c:pt idx="30">
                  <c:v>42.344000000000001</c:v>
                </c:pt>
                <c:pt idx="31">
                  <c:v>41.100999999999999</c:v>
                </c:pt>
                <c:pt idx="32">
                  <c:v>60.176000000000002</c:v>
                </c:pt>
                <c:pt idx="33">
                  <c:v>51.238999999999997</c:v>
                </c:pt>
                <c:pt idx="34">
                  <c:v>42.485999999999997</c:v>
                </c:pt>
                <c:pt idx="35">
                  <c:v>68.287999999999997</c:v>
                </c:pt>
                <c:pt idx="36">
                  <c:v>63.127000000000002</c:v>
                </c:pt>
                <c:pt idx="37">
                  <c:v>53.231999999999999</c:v>
                </c:pt>
                <c:pt idx="38">
                  <c:v>61.747</c:v>
                </c:pt>
                <c:pt idx="39">
                  <c:v>34.587000000000003</c:v>
                </c:pt>
                <c:pt idx="40">
                  <c:v>71.385000000000005</c:v>
                </c:pt>
                <c:pt idx="41">
                  <c:v>62.606999999999999</c:v>
                </c:pt>
                <c:pt idx="42">
                  <c:v>34.518999999999998</c:v>
                </c:pt>
                <c:pt idx="43">
                  <c:v>30.033999999999999</c:v>
                </c:pt>
                <c:pt idx="44">
                  <c:v>39.759</c:v>
                </c:pt>
                <c:pt idx="45">
                  <c:v>63.104999999999997</c:v>
                </c:pt>
                <c:pt idx="46">
                  <c:v>43.066000000000003</c:v>
                </c:pt>
                <c:pt idx="47">
                  <c:v>47.003999999999998</c:v>
                </c:pt>
                <c:pt idx="48">
                  <c:v>61.438000000000002</c:v>
                </c:pt>
                <c:pt idx="49">
                  <c:v>42.5</c:v>
                </c:pt>
                <c:pt idx="50">
                  <c:v>31.611000000000001</c:v>
                </c:pt>
                <c:pt idx="51">
                  <c:v>48.463000000000001</c:v>
                </c:pt>
                <c:pt idx="52">
                  <c:v>32.81</c:v>
                </c:pt>
                <c:pt idx="53">
                  <c:v>33.005000000000003</c:v>
                </c:pt>
                <c:pt idx="54">
                  <c:v>37.292000000000002</c:v>
                </c:pt>
                <c:pt idx="55">
                  <c:v>35.555999999999997</c:v>
                </c:pt>
                <c:pt idx="56">
                  <c:v>43.795000000000002</c:v>
                </c:pt>
                <c:pt idx="57">
                  <c:v>49.484000000000002</c:v>
                </c:pt>
                <c:pt idx="58">
                  <c:v>33.119999999999997</c:v>
                </c:pt>
                <c:pt idx="59">
                  <c:v>60.011000000000003</c:v>
                </c:pt>
                <c:pt idx="60">
                  <c:v>59.186999999999998</c:v>
                </c:pt>
                <c:pt idx="61">
                  <c:v>67.061000000000007</c:v>
                </c:pt>
                <c:pt idx="62">
                  <c:v>58.296999999999997</c:v>
                </c:pt>
                <c:pt idx="63">
                  <c:v>60.793999999999997</c:v>
                </c:pt>
                <c:pt idx="64">
                  <c:v>50.33</c:v>
                </c:pt>
                <c:pt idx="65">
                  <c:v>55.234000000000002</c:v>
                </c:pt>
                <c:pt idx="66">
                  <c:v>51.113</c:v>
                </c:pt>
                <c:pt idx="67">
                  <c:v>39.734000000000002</c:v>
                </c:pt>
                <c:pt idx="68">
                  <c:v>49.517000000000003</c:v>
                </c:pt>
              </c:numCache>
            </c:numRef>
          </c:xVal>
          <c:yVal>
            <c:numRef>
              <c:f>'20'!$C$6:$C$5005</c:f>
              <c:numCache>
                <c:formatCode>0.0000</c:formatCode>
                <c:ptCount val="5000"/>
                <c:pt idx="0">
                  <c:v>0.9627</c:v>
                </c:pt>
                <c:pt idx="1">
                  <c:v>0.97970000000000002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0.93269999999999997</c:v>
                </c:pt>
                <c:pt idx="10">
                  <c:v>0.77129999999999999</c:v>
                </c:pt>
                <c:pt idx="11">
                  <c:v>1</c:v>
                </c:pt>
                <c:pt idx="12">
                  <c:v>0.93210000000000004</c:v>
                </c:pt>
                <c:pt idx="13">
                  <c:v>0.62370000000000003</c:v>
                </c:pt>
                <c:pt idx="14">
                  <c:v>0.67500000000000004</c:v>
                </c:pt>
                <c:pt idx="15">
                  <c:v>1</c:v>
                </c:pt>
                <c:pt idx="16">
                  <c:v>0</c:v>
                </c:pt>
                <c:pt idx="17">
                  <c:v>0.36649999999999999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0.749</c:v>
                </c:pt>
                <c:pt idx="24">
                  <c:v>1</c:v>
                </c:pt>
                <c:pt idx="25">
                  <c:v>1</c:v>
                </c:pt>
                <c:pt idx="26">
                  <c:v>0.9677</c:v>
                </c:pt>
                <c:pt idx="27">
                  <c:v>0.80649999999999999</c:v>
                </c:pt>
                <c:pt idx="28">
                  <c:v>0.97019999999999995</c:v>
                </c:pt>
                <c:pt idx="29">
                  <c:v>0.79379999999999995</c:v>
                </c:pt>
                <c:pt idx="30">
                  <c:v>0.8407</c:v>
                </c:pt>
                <c:pt idx="31">
                  <c:v>0.95030000000000003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0.92420000000000002</c:v>
                </c:pt>
                <c:pt idx="39">
                  <c:v>1</c:v>
                </c:pt>
                <c:pt idx="40">
                  <c:v>0.68520000000000003</c:v>
                </c:pt>
                <c:pt idx="41">
                  <c:v>0.55369999999999997</c:v>
                </c:pt>
                <c:pt idx="42">
                  <c:v>1</c:v>
                </c:pt>
                <c:pt idx="43">
                  <c:v>1</c:v>
                </c:pt>
                <c:pt idx="44">
                  <c:v>0.94040000000000001</c:v>
                </c:pt>
                <c:pt idx="45">
                  <c:v>1</c:v>
                </c:pt>
                <c:pt idx="46">
                  <c:v>1</c:v>
                </c:pt>
                <c:pt idx="47">
                  <c:v>0.8236</c:v>
                </c:pt>
                <c:pt idx="48">
                  <c:v>0.90510000000000002</c:v>
                </c:pt>
                <c:pt idx="49">
                  <c:v>0.76870000000000005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0.98580000000000001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0.77129999999999999</c:v>
                </c:pt>
                <c:pt idx="58">
                  <c:v>0.91</c:v>
                </c:pt>
                <c:pt idx="59">
                  <c:v>1</c:v>
                </c:pt>
                <c:pt idx="60">
                  <c:v>0.96060000000000001</c:v>
                </c:pt>
                <c:pt idx="61">
                  <c:v>0</c:v>
                </c:pt>
                <c:pt idx="62">
                  <c:v>0.84279999999999999</c:v>
                </c:pt>
                <c:pt idx="63">
                  <c:v>0</c:v>
                </c:pt>
                <c:pt idx="64">
                  <c:v>0</c:v>
                </c:pt>
                <c:pt idx="65">
                  <c:v>0.4078</c:v>
                </c:pt>
                <c:pt idx="66">
                  <c:v>1</c:v>
                </c:pt>
                <c:pt idx="67">
                  <c:v>1</c:v>
                </c:pt>
                <c:pt idx="68">
                  <c:v>0.86140000000000005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DC8-4C44-B95E-BDED4B596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900096"/>
        <c:axId val="126898560"/>
      </c:scatterChart>
      <c:dateAx>
        <c:axId val="126886656"/>
        <c:scaling>
          <c:orientation val="minMax"/>
          <c:max val="75"/>
          <c:min val="25"/>
        </c:scaling>
        <c:delete val="1"/>
        <c:axPos val="b"/>
        <c:numFmt formatCode="General" sourceLinked="1"/>
        <c:majorTickMark val="out"/>
        <c:minorTickMark val="none"/>
        <c:tickLblPos val="nextTo"/>
        <c:crossAx val="126888576"/>
        <c:crossesAt val="0"/>
        <c:auto val="0"/>
        <c:lblOffset val="100"/>
        <c:baseTimeUnit val="days"/>
        <c:majorUnit val="5"/>
      </c:dateAx>
      <c:valAx>
        <c:axId val="12688857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126886656"/>
        <c:crosses val="autoZero"/>
        <c:crossBetween val="midCat"/>
        <c:majorUnit val="0.2"/>
      </c:valAx>
      <c:valAx>
        <c:axId val="126898560"/>
        <c:scaling>
          <c:orientation val="minMax"/>
          <c:max val="1"/>
          <c:min val="0"/>
        </c:scaling>
        <c:delete val="1"/>
        <c:axPos val="r"/>
        <c:numFmt formatCode="0%" sourceLinked="0"/>
        <c:majorTickMark val="out"/>
        <c:minorTickMark val="none"/>
        <c:tickLblPos val="nextTo"/>
        <c:crossAx val="126900096"/>
        <c:crosses val="max"/>
        <c:crossBetween val="midCat"/>
        <c:majorUnit val="0.2"/>
      </c:valAx>
      <c:valAx>
        <c:axId val="126900096"/>
        <c:scaling>
          <c:orientation val="minMax"/>
          <c:max val="75"/>
          <c:min val="25"/>
        </c:scaling>
        <c:delete val="0"/>
        <c:axPos val="b"/>
        <c:numFmt formatCode="0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126898560"/>
        <c:crosses val="autoZero"/>
        <c:crossBetween val="midCat"/>
        <c:majorUnit val="5"/>
      </c:valAx>
    </c:plotArea>
    <c:plotVisOnly val="0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24</xdr:row>
      <xdr:rowOff>28575</xdr:rowOff>
    </xdr:from>
    <xdr:to>
      <xdr:col>21</xdr:col>
      <xdr:colOff>426720</xdr:colOff>
      <xdr:row>43</xdr:row>
      <xdr:rowOff>66675</xdr:rowOff>
    </xdr:to>
    <xdr:graphicFrame macro="">
      <xdr:nvGraphicFramePr>
        <xdr:cNvPr id="2" name="Plo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24</xdr:row>
      <xdr:rowOff>28575</xdr:rowOff>
    </xdr:from>
    <xdr:to>
      <xdr:col>22</xdr:col>
      <xdr:colOff>274320</xdr:colOff>
      <xdr:row>43</xdr:row>
      <xdr:rowOff>66675</xdr:rowOff>
    </xdr:to>
    <xdr:graphicFrame macro="">
      <xdr:nvGraphicFramePr>
        <xdr:cNvPr id="2" name="Plo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24</xdr:row>
      <xdr:rowOff>28575</xdr:rowOff>
    </xdr:from>
    <xdr:to>
      <xdr:col>19</xdr:col>
      <xdr:colOff>455295</xdr:colOff>
      <xdr:row>43</xdr:row>
      <xdr:rowOff>66675</xdr:rowOff>
    </xdr:to>
    <xdr:graphicFrame macro="">
      <xdr:nvGraphicFramePr>
        <xdr:cNvPr id="2" name="Plo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24</xdr:row>
      <xdr:rowOff>28575</xdr:rowOff>
    </xdr:from>
    <xdr:to>
      <xdr:col>25</xdr:col>
      <xdr:colOff>179070</xdr:colOff>
      <xdr:row>43</xdr:row>
      <xdr:rowOff>66675</xdr:rowOff>
    </xdr:to>
    <xdr:graphicFrame macro="">
      <xdr:nvGraphicFramePr>
        <xdr:cNvPr id="2" name="Plo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24</xdr:row>
      <xdr:rowOff>28575</xdr:rowOff>
    </xdr:from>
    <xdr:to>
      <xdr:col>25</xdr:col>
      <xdr:colOff>283845</xdr:colOff>
      <xdr:row>43</xdr:row>
      <xdr:rowOff>66675</xdr:rowOff>
    </xdr:to>
    <xdr:graphicFrame macro="">
      <xdr:nvGraphicFramePr>
        <xdr:cNvPr id="2" name="Plo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24</xdr:row>
      <xdr:rowOff>28575</xdr:rowOff>
    </xdr:from>
    <xdr:to>
      <xdr:col>14</xdr:col>
      <xdr:colOff>1645920</xdr:colOff>
      <xdr:row>43</xdr:row>
      <xdr:rowOff>66675</xdr:rowOff>
    </xdr:to>
    <xdr:graphicFrame macro="">
      <xdr:nvGraphicFramePr>
        <xdr:cNvPr id="2" name="Plot">
          <a:extLst>
            <a:ext uri="{FF2B5EF4-FFF2-40B4-BE49-F238E27FC236}">
              <a16:creationId xmlns:a16="http://schemas.microsoft.com/office/drawing/2014/main" id="{737D8CE4-BAC2-4B68-8DD9-C36AC553AE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24</xdr:row>
      <xdr:rowOff>28575</xdr:rowOff>
    </xdr:from>
    <xdr:to>
      <xdr:col>21</xdr:col>
      <xdr:colOff>426720</xdr:colOff>
      <xdr:row>43</xdr:row>
      <xdr:rowOff>66675</xdr:rowOff>
    </xdr:to>
    <xdr:graphicFrame macro="">
      <xdr:nvGraphicFramePr>
        <xdr:cNvPr id="2" name="Plot">
          <a:extLst>
            <a:ext uri="{FF2B5EF4-FFF2-40B4-BE49-F238E27FC236}">
              <a16:creationId xmlns:a16="http://schemas.microsoft.com/office/drawing/2014/main" id="{C8840384-CB9C-4829-B034-4B515CA18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24</xdr:row>
      <xdr:rowOff>28575</xdr:rowOff>
    </xdr:from>
    <xdr:to>
      <xdr:col>19</xdr:col>
      <xdr:colOff>1607820</xdr:colOff>
      <xdr:row>43</xdr:row>
      <xdr:rowOff>66675</xdr:rowOff>
    </xdr:to>
    <xdr:graphicFrame macro="">
      <xdr:nvGraphicFramePr>
        <xdr:cNvPr id="2" name="Plot">
          <a:extLst>
            <a:ext uri="{FF2B5EF4-FFF2-40B4-BE49-F238E27FC236}">
              <a16:creationId xmlns:a16="http://schemas.microsoft.com/office/drawing/2014/main" id="{3FE9E2AC-E4BD-4EA5-8EAA-8955CAC34C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24</xdr:row>
      <xdr:rowOff>28575</xdr:rowOff>
    </xdr:from>
    <xdr:to>
      <xdr:col>25</xdr:col>
      <xdr:colOff>179070</xdr:colOff>
      <xdr:row>43</xdr:row>
      <xdr:rowOff>66675</xdr:rowOff>
    </xdr:to>
    <xdr:graphicFrame macro="">
      <xdr:nvGraphicFramePr>
        <xdr:cNvPr id="2" name="Plot">
          <a:extLst>
            <a:ext uri="{FF2B5EF4-FFF2-40B4-BE49-F238E27FC236}">
              <a16:creationId xmlns:a16="http://schemas.microsoft.com/office/drawing/2014/main" id="{31401647-319C-4934-AA10-E90FC9015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24</xdr:row>
      <xdr:rowOff>28575</xdr:rowOff>
    </xdr:from>
    <xdr:to>
      <xdr:col>25</xdr:col>
      <xdr:colOff>283845</xdr:colOff>
      <xdr:row>43</xdr:row>
      <xdr:rowOff>66675</xdr:rowOff>
    </xdr:to>
    <xdr:graphicFrame macro="">
      <xdr:nvGraphicFramePr>
        <xdr:cNvPr id="2" name="Plot">
          <a:extLst>
            <a:ext uri="{FF2B5EF4-FFF2-40B4-BE49-F238E27FC236}">
              <a16:creationId xmlns:a16="http://schemas.microsoft.com/office/drawing/2014/main" id="{D72506DA-BC2D-4F5E-B635-485D263C7C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4"/>
  <sheetViews>
    <sheetView showGridLines="0" topLeftCell="A3" workbookViewId="0">
      <selection activeCell="J5" sqref="J5"/>
    </sheetView>
  </sheetViews>
  <sheetFormatPr defaultColWidth="9.140625" defaultRowHeight="15" x14ac:dyDescent="0.25"/>
  <cols>
    <col min="1" max="1" width="1.7109375" style="1" customWidth="1"/>
    <col min="2" max="2" width="4.140625" style="25" bestFit="1" customWidth="1"/>
    <col min="3" max="3" width="45.42578125" style="1" customWidth="1"/>
    <col min="4" max="6" width="9.140625" style="1"/>
    <col min="7" max="7" width="38" style="1" bestFit="1" customWidth="1"/>
    <col min="8" max="9" width="9.140625" style="1"/>
    <col min="10" max="10" width="14.85546875" style="1" bestFit="1" customWidth="1"/>
    <col min="11" max="16384" width="9.140625" style="1"/>
  </cols>
  <sheetData>
    <row r="1" spans="2:11" ht="12" customHeight="1" x14ac:dyDescent="0.25"/>
    <row r="2" spans="2:11" ht="26.25" x14ac:dyDescent="0.4">
      <c r="B2" s="26" t="s">
        <v>49</v>
      </c>
    </row>
    <row r="4" spans="2:11" x14ac:dyDescent="0.25">
      <c r="B4" s="39" t="s">
        <v>47</v>
      </c>
      <c r="C4" s="40" t="s">
        <v>48</v>
      </c>
    </row>
    <row r="5" spans="2:11" x14ac:dyDescent="0.25">
      <c r="B5" s="41" t="s">
        <v>24</v>
      </c>
      <c r="C5" s="42" t="s">
        <v>28</v>
      </c>
      <c r="G5" s="81" t="s">
        <v>97</v>
      </c>
      <c r="H5" s="1" t="s">
        <v>106</v>
      </c>
      <c r="J5" s="1" t="s">
        <v>110</v>
      </c>
      <c r="K5" s="1" t="s">
        <v>112</v>
      </c>
    </row>
    <row r="6" spans="2:11" x14ac:dyDescent="0.25">
      <c r="B6" s="41" t="s">
        <v>25</v>
      </c>
      <c r="C6" s="42" t="s">
        <v>29</v>
      </c>
      <c r="G6" s="81" t="s">
        <v>98</v>
      </c>
      <c r="J6" s="1" t="s">
        <v>111</v>
      </c>
      <c r="K6" s="1" t="s">
        <v>113</v>
      </c>
    </row>
    <row r="7" spans="2:11" x14ac:dyDescent="0.25">
      <c r="B7" s="41" t="s">
        <v>26</v>
      </c>
      <c r="C7" s="42" t="s">
        <v>30</v>
      </c>
      <c r="J7" s="1" t="s">
        <v>114</v>
      </c>
    </row>
    <row r="8" spans="2:11" x14ac:dyDescent="0.25">
      <c r="B8" s="43" t="s">
        <v>27</v>
      </c>
      <c r="C8" s="44" t="s">
        <v>31</v>
      </c>
      <c r="G8" s="82" t="s">
        <v>99</v>
      </c>
      <c r="H8" s="1" t="s">
        <v>107</v>
      </c>
    </row>
    <row r="9" spans="2:11" x14ac:dyDescent="0.25">
      <c r="B9" s="41">
        <v>1</v>
      </c>
      <c r="C9" s="42" t="s">
        <v>32</v>
      </c>
      <c r="G9" s="82" t="s">
        <v>50</v>
      </c>
    </row>
    <row r="10" spans="2:11" x14ac:dyDescent="0.25">
      <c r="B10" s="41">
        <v>2</v>
      </c>
      <c r="C10" s="42" t="s">
        <v>33</v>
      </c>
    </row>
    <row r="11" spans="2:11" x14ac:dyDescent="0.25">
      <c r="B11" s="41">
        <v>3</v>
      </c>
      <c r="C11" s="42" t="s">
        <v>34</v>
      </c>
      <c r="G11" s="83" t="s">
        <v>100</v>
      </c>
      <c r="H11" s="1" t="s">
        <v>106</v>
      </c>
    </row>
    <row r="12" spans="2:11" x14ac:dyDescent="0.25">
      <c r="B12" s="41">
        <v>4</v>
      </c>
      <c r="C12" s="42" t="s">
        <v>35</v>
      </c>
      <c r="G12" s="83" t="s">
        <v>101</v>
      </c>
    </row>
    <row r="13" spans="2:11" x14ac:dyDescent="0.25">
      <c r="B13" s="41">
        <v>5</v>
      </c>
      <c r="C13" s="42" t="s">
        <v>37</v>
      </c>
    </row>
    <row r="14" spans="2:11" x14ac:dyDescent="0.25">
      <c r="B14" s="41">
        <v>6</v>
      </c>
      <c r="C14" s="42" t="s">
        <v>38</v>
      </c>
      <c r="G14" s="84" t="s">
        <v>102</v>
      </c>
      <c r="H14" s="1" t="s">
        <v>107</v>
      </c>
    </row>
    <row r="15" spans="2:11" x14ac:dyDescent="0.25">
      <c r="B15" s="41">
        <v>7</v>
      </c>
      <c r="C15" s="42" t="s">
        <v>36</v>
      </c>
      <c r="G15" s="84" t="s">
        <v>103</v>
      </c>
    </row>
    <row r="16" spans="2:11" x14ac:dyDescent="0.25">
      <c r="B16" s="41">
        <v>11</v>
      </c>
      <c r="C16" s="42" t="s">
        <v>39</v>
      </c>
    </row>
    <row r="17" spans="2:8" x14ac:dyDescent="0.25">
      <c r="B17" s="41">
        <v>12</v>
      </c>
      <c r="C17" s="42" t="s">
        <v>40</v>
      </c>
      <c r="G17" s="85" t="s">
        <v>104</v>
      </c>
      <c r="H17" s="87"/>
    </row>
    <row r="18" spans="2:8" x14ac:dyDescent="0.25">
      <c r="B18" s="41">
        <v>13</v>
      </c>
      <c r="C18" s="42" t="s">
        <v>41</v>
      </c>
      <c r="G18" s="85" t="s">
        <v>105</v>
      </c>
      <c r="H18" s="87"/>
    </row>
    <row r="19" spans="2:8" x14ac:dyDescent="0.25">
      <c r="B19" s="41">
        <v>14</v>
      </c>
      <c r="C19" s="42" t="s">
        <v>43</v>
      </c>
      <c r="H19" s="87"/>
    </row>
    <row r="20" spans="2:8" x14ac:dyDescent="0.25">
      <c r="B20" s="41">
        <v>15</v>
      </c>
      <c r="C20" s="42" t="s">
        <v>44</v>
      </c>
      <c r="G20" s="86" t="s">
        <v>109</v>
      </c>
      <c r="H20" s="87"/>
    </row>
    <row r="21" spans="2:8" x14ac:dyDescent="0.25">
      <c r="B21" s="41">
        <v>16</v>
      </c>
      <c r="C21" s="42" t="s">
        <v>42</v>
      </c>
      <c r="G21" s="86" t="s">
        <v>108</v>
      </c>
      <c r="H21" s="87"/>
    </row>
    <row r="22" spans="2:8" x14ac:dyDescent="0.25">
      <c r="B22" s="41">
        <v>17</v>
      </c>
      <c r="C22" s="42" t="s">
        <v>45</v>
      </c>
    </row>
    <row r="23" spans="2:8" x14ac:dyDescent="0.25">
      <c r="B23" s="41">
        <v>20</v>
      </c>
      <c r="C23" s="42" t="s">
        <v>46</v>
      </c>
    </row>
    <row r="24" spans="2:8" x14ac:dyDescent="0.25">
      <c r="B24" s="41"/>
      <c r="C24" s="42"/>
    </row>
  </sheetData>
  <pageMargins left="0.7" right="0.7" top="0.75" bottom="0.75" header="0.3" footer="0.3"/>
  <pageSetup orientation="portrait" r:id="rId1"/>
  <headerFooter>
    <oddFooter>&amp;L_x000D_&amp;1#&amp;"Calibri"&amp;10&amp;K000000 Fidelity Internal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103"/>
  <sheetViews>
    <sheetView showGridLines="0" showRowColHeaders="0" workbookViewId="0">
      <selection activeCell="K14" sqref="K14"/>
    </sheetView>
  </sheetViews>
  <sheetFormatPr defaultColWidth="9.140625" defaultRowHeight="15" x14ac:dyDescent="0.25"/>
  <cols>
    <col min="1" max="1" width="1.7109375" style="1" customWidth="1"/>
    <col min="2" max="2" width="9.140625" style="2"/>
    <col min="3" max="3" width="9.140625" style="6"/>
    <col min="4" max="4" width="1.7109375" style="1" customWidth="1"/>
    <col min="5" max="5" width="6.140625" style="1" customWidth="1"/>
    <col min="6" max="6" width="7.5703125" style="1" customWidth="1"/>
    <col min="7" max="8" width="9.140625" style="1"/>
    <col min="9" max="9" width="1.7109375" style="1" customWidth="1"/>
    <col min="10" max="12" width="9.140625" style="1"/>
    <col min="13" max="13" width="1.7109375" style="1" customWidth="1"/>
    <col min="14" max="14" width="14.7109375" style="1" customWidth="1"/>
    <col min="15" max="15" width="14.7109375" style="1" hidden="1" customWidth="1"/>
    <col min="16" max="20" width="8.7109375" style="1" customWidth="1"/>
    <col min="21" max="21" width="8.7109375" style="1" hidden="1" customWidth="1"/>
    <col min="22" max="22" width="8.7109375" style="1" customWidth="1"/>
    <col min="23" max="23" width="1.7109375" style="1" customWidth="1"/>
    <col min="24" max="16384" width="9.140625" style="1"/>
  </cols>
  <sheetData>
    <row r="1" spans="2:22" ht="12" customHeight="1" x14ac:dyDescent="0.25"/>
    <row r="2" spans="2:22" ht="26.25" x14ac:dyDescent="0.4">
      <c r="B2" s="3" t="s">
        <v>19</v>
      </c>
    </row>
    <row r="3" spans="2:22" ht="12" customHeight="1" x14ac:dyDescent="0.25"/>
    <row r="4" spans="2:22" x14ac:dyDescent="0.25">
      <c r="B4" s="57" t="s">
        <v>2</v>
      </c>
      <c r="C4" s="57"/>
      <c r="E4" s="59" t="s">
        <v>5</v>
      </c>
      <c r="F4" s="60"/>
      <c r="G4" s="60"/>
      <c r="H4" s="61"/>
      <c r="J4" s="58" t="s">
        <v>6</v>
      </c>
      <c r="K4" s="58"/>
      <c r="L4" s="58"/>
      <c r="N4" s="58" t="s">
        <v>18</v>
      </c>
      <c r="O4" s="58"/>
      <c r="P4" s="58"/>
      <c r="Q4" s="58"/>
      <c r="R4" s="58"/>
      <c r="S4" s="58"/>
      <c r="T4" s="58"/>
      <c r="U4" s="58"/>
      <c r="V4" s="58"/>
    </row>
    <row r="5" spans="2:22" x14ac:dyDescent="0.25">
      <c r="B5" s="4" t="s">
        <v>0</v>
      </c>
      <c r="C5" s="7" t="s">
        <v>1</v>
      </c>
      <c r="E5" s="18" t="s">
        <v>23</v>
      </c>
      <c r="F5" s="18" t="s">
        <v>3</v>
      </c>
      <c r="G5" s="18" t="s">
        <v>0</v>
      </c>
      <c r="H5" s="18" t="s">
        <v>1</v>
      </c>
      <c r="J5" s="18" t="s">
        <v>4</v>
      </c>
      <c r="K5" s="18" t="s">
        <v>0</v>
      </c>
      <c r="L5" s="18" t="s">
        <v>1</v>
      </c>
      <c r="N5" s="18" t="s">
        <v>17</v>
      </c>
      <c r="O5" s="18" t="s">
        <v>21</v>
      </c>
      <c r="P5" s="18" t="s">
        <v>7</v>
      </c>
      <c r="Q5" s="18" t="s">
        <v>8</v>
      </c>
      <c r="R5" s="18" t="s">
        <v>9</v>
      </c>
      <c r="S5" s="18" t="s">
        <v>10</v>
      </c>
      <c r="T5" s="18" t="s">
        <v>11</v>
      </c>
      <c r="U5" s="18" t="s">
        <v>22</v>
      </c>
      <c r="V5" s="18" t="s">
        <v>13</v>
      </c>
    </row>
    <row r="6" spans="2:22" x14ac:dyDescent="0.25">
      <c r="B6" s="5"/>
      <c r="C6" s="8"/>
      <c r="E6" s="23" t="str">
        <f t="shared" ref="E6:E21" si="0">IF(F6&lt;&gt;"",IF(F6&gt;0,TEXT(RIGHT(F6,2),"00"),"IN"),"")</f>
        <v/>
      </c>
      <c r="F6" s="11"/>
      <c r="G6" s="21"/>
      <c r="H6" s="22"/>
      <c r="J6" s="19" t="s">
        <v>7</v>
      </c>
      <c r="K6" s="10">
        <v>30</v>
      </c>
      <c r="L6" s="24" t="e">
        <f>IF(P7&lt;&gt;"",P7,NA())</f>
        <v>#N/A</v>
      </c>
      <c r="N6" s="10" t="s">
        <v>16</v>
      </c>
      <c r="O6" s="10"/>
      <c r="P6" s="16"/>
      <c r="Q6" s="16"/>
      <c r="R6" s="16"/>
      <c r="S6" s="16"/>
      <c r="T6" s="16"/>
      <c r="U6" s="16"/>
      <c r="V6" s="16"/>
    </row>
    <row r="7" spans="2:22" x14ac:dyDescent="0.25">
      <c r="B7" s="5"/>
      <c r="C7" s="8"/>
      <c r="E7" s="23" t="str">
        <f t="shared" si="0"/>
        <v/>
      </c>
      <c r="F7" s="11"/>
      <c r="G7" s="21"/>
      <c r="H7" s="22"/>
      <c r="J7" s="19" t="s">
        <v>8</v>
      </c>
      <c r="K7" s="10">
        <v>40</v>
      </c>
      <c r="L7" s="24" t="e">
        <f>IF(Q7&lt;&gt;"",Q7,NA())</f>
        <v>#N/A</v>
      </c>
      <c r="N7" s="10" t="s">
        <v>14</v>
      </c>
      <c r="O7" s="10"/>
      <c r="P7" s="17"/>
      <c r="Q7" s="17"/>
      <c r="R7" s="17"/>
      <c r="S7" s="17"/>
      <c r="T7" s="17"/>
      <c r="U7" s="17"/>
      <c r="V7" s="17"/>
    </row>
    <row r="8" spans="2:22" x14ac:dyDescent="0.25">
      <c r="B8" s="5"/>
      <c r="C8" s="8"/>
      <c r="E8" s="23" t="str">
        <f t="shared" si="0"/>
        <v/>
      </c>
      <c r="F8" s="11"/>
      <c r="G8" s="21"/>
      <c r="H8" s="22"/>
      <c r="J8" s="19" t="s">
        <v>9</v>
      </c>
      <c r="K8" s="10">
        <v>50</v>
      </c>
      <c r="L8" s="24" t="e">
        <f>IF(R7&lt;&gt;"",R7,NA())</f>
        <v>#N/A</v>
      </c>
      <c r="N8" s="10" t="s">
        <v>15</v>
      </c>
      <c r="O8" s="10"/>
      <c r="P8" s="16"/>
      <c r="Q8" s="16"/>
      <c r="R8" s="16"/>
      <c r="S8" s="16"/>
      <c r="T8" s="16"/>
      <c r="U8" s="16"/>
      <c r="V8" s="16"/>
    </row>
    <row r="9" spans="2:22" x14ac:dyDescent="0.25">
      <c r="B9" s="5"/>
      <c r="C9" s="8"/>
      <c r="E9" s="23" t="str">
        <f t="shared" si="0"/>
        <v/>
      </c>
      <c r="F9" s="11"/>
      <c r="G9" s="21"/>
      <c r="H9" s="22"/>
      <c r="J9" s="19" t="s">
        <v>10</v>
      </c>
      <c r="K9" s="10">
        <v>60</v>
      </c>
      <c r="L9" s="24" t="e">
        <f>IF(S7&lt;&gt;"",S7,NA())</f>
        <v>#N/A</v>
      </c>
    </row>
    <row r="10" spans="2:22" x14ac:dyDescent="0.25">
      <c r="B10" s="5"/>
      <c r="C10" s="8"/>
      <c r="E10" s="23" t="str">
        <f t="shared" si="0"/>
        <v/>
      </c>
      <c r="F10" s="11"/>
      <c r="G10" s="21"/>
      <c r="H10" s="22"/>
      <c r="J10" s="19" t="s">
        <v>11</v>
      </c>
      <c r="K10" s="10">
        <v>70</v>
      </c>
      <c r="L10" s="24" t="e">
        <f>IF(T7&lt;&gt;"",T7,NA())</f>
        <v>#N/A</v>
      </c>
    </row>
    <row r="11" spans="2:22" x14ac:dyDescent="0.25">
      <c r="B11" s="5"/>
      <c r="C11" s="8"/>
      <c r="E11" s="23" t="str">
        <f t="shared" si="0"/>
        <v/>
      </c>
      <c r="F11" s="11"/>
      <c r="G11" s="21"/>
      <c r="H11" s="22"/>
    </row>
    <row r="12" spans="2:22" x14ac:dyDescent="0.25">
      <c r="B12" s="5"/>
      <c r="C12" s="8"/>
      <c r="E12" s="23" t="str">
        <f t="shared" si="0"/>
        <v/>
      </c>
      <c r="F12" s="11"/>
      <c r="G12" s="21"/>
      <c r="H12" s="22"/>
    </row>
    <row r="13" spans="2:22" x14ac:dyDescent="0.25">
      <c r="B13" s="5"/>
      <c r="C13" s="8"/>
      <c r="E13" s="23" t="str">
        <f t="shared" si="0"/>
        <v/>
      </c>
      <c r="F13" s="11"/>
      <c r="G13" s="21"/>
      <c r="H13" s="22"/>
    </row>
    <row r="14" spans="2:22" x14ac:dyDescent="0.25">
      <c r="B14" s="5"/>
      <c r="C14" s="8"/>
      <c r="E14" s="23" t="str">
        <f t="shared" si="0"/>
        <v/>
      </c>
      <c r="F14" s="11"/>
      <c r="G14" s="21"/>
      <c r="H14" s="22"/>
    </row>
    <row r="15" spans="2:22" x14ac:dyDescent="0.25">
      <c r="B15" s="5"/>
      <c r="C15" s="8"/>
      <c r="E15" s="23" t="str">
        <f t="shared" si="0"/>
        <v/>
      </c>
      <c r="F15" s="11"/>
      <c r="G15" s="21"/>
      <c r="H15" s="22"/>
    </row>
    <row r="16" spans="2:22" x14ac:dyDescent="0.25">
      <c r="B16" s="5"/>
      <c r="C16" s="8"/>
      <c r="E16" s="23" t="str">
        <f t="shared" si="0"/>
        <v/>
      </c>
      <c r="F16" s="11"/>
      <c r="G16" s="21"/>
      <c r="H16" s="22"/>
    </row>
    <row r="17" spans="2:22" x14ac:dyDescent="0.25">
      <c r="B17" s="5"/>
      <c r="C17" s="8"/>
      <c r="E17" s="23" t="str">
        <f t="shared" si="0"/>
        <v/>
      </c>
      <c r="F17" s="11"/>
      <c r="G17" s="21"/>
      <c r="H17" s="22"/>
    </row>
    <row r="18" spans="2:22" x14ac:dyDescent="0.25">
      <c r="B18" s="5"/>
      <c r="C18" s="8"/>
      <c r="E18" s="23" t="str">
        <f t="shared" si="0"/>
        <v/>
      </c>
      <c r="F18" s="11"/>
      <c r="G18" s="21"/>
      <c r="H18" s="22"/>
    </row>
    <row r="19" spans="2:22" x14ac:dyDescent="0.25">
      <c r="B19" s="5"/>
      <c r="C19" s="8"/>
      <c r="E19" s="23" t="str">
        <f t="shared" si="0"/>
        <v/>
      </c>
      <c r="F19" s="11"/>
      <c r="G19" s="21"/>
      <c r="H19" s="22"/>
    </row>
    <row r="20" spans="2:22" x14ac:dyDescent="0.25">
      <c r="B20" s="5"/>
      <c r="C20" s="8"/>
      <c r="E20" s="23" t="str">
        <f t="shared" si="0"/>
        <v/>
      </c>
      <c r="F20" s="11"/>
      <c r="G20" s="21"/>
      <c r="H20" s="22"/>
    </row>
    <row r="21" spans="2:22" x14ac:dyDescent="0.25">
      <c r="B21" s="5"/>
      <c r="C21" s="8"/>
      <c r="E21" s="23" t="str">
        <f t="shared" si="0"/>
        <v/>
      </c>
      <c r="F21" s="11"/>
      <c r="G21" s="21"/>
      <c r="H21" s="22"/>
      <c r="J21" s="58" t="s">
        <v>20</v>
      </c>
      <c r="K21" s="58"/>
      <c r="L21" s="20"/>
    </row>
    <row r="22" spans="2:22" x14ac:dyDescent="0.25">
      <c r="B22" s="5"/>
      <c r="C22" s="8"/>
    </row>
    <row r="23" spans="2:22" x14ac:dyDescent="0.25">
      <c r="B23" s="5"/>
      <c r="C23" s="8"/>
      <c r="E23" s="51" t="s">
        <v>12</v>
      </c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3"/>
    </row>
    <row r="24" spans="2:22" x14ac:dyDescent="0.25">
      <c r="B24" s="5"/>
      <c r="C24" s="8"/>
      <c r="E24" s="5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6"/>
    </row>
    <row r="25" spans="2:22" x14ac:dyDescent="0.25">
      <c r="B25" s="5"/>
      <c r="C25" s="8"/>
      <c r="E25" s="12"/>
      <c r="V25" s="13"/>
    </row>
    <row r="26" spans="2:22" x14ac:dyDescent="0.25">
      <c r="B26" s="5"/>
      <c r="C26" s="8"/>
      <c r="E26" s="12"/>
      <c r="V26" s="13"/>
    </row>
    <row r="27" spans="2:22" x14ac:dyDescent="0.25">
      <c r="B27" s="5"/>
      <c r="C27" s="8"/>
      <c r="E27" s="12"/>
      <c r="V27" s="13"/>
    </row>
    <row r="28" spans="2:22" x14ac:dyDescent="0.25">
      <c r="B28" s="5"/>
      <c r="C28" s="8"/>
      <c r="E28" s="12"/>
      <c r="V28" s="13"/>
    </row>
    <row r="29" spans="2:22" x14ac:dyDescent="0.25">
      <c r="B29" s="5"/>
      <c r="C29" s="8"/>
      <c r="E29" s="12"/>
      <c r="V29" s="13"/>
    </row>
    <row r="30" spans="2:22" x14ac:dyDescent="0.25">
      <c r="B30" s="5"/>
      <c r="C30" s="8"/>
      <c r="E30" s="12"/>
      <c r="V30" s="13"/>
    </row>
    <row r="31" spans="2:22" x14ac:dyDescent="0.25">
      <c r="B31" s="5"/>
      <c r="C31" s="8"/>
      <c r="E31" s="12"/>
      <c r="V31" s="13"/>
    </row>
    <row r="32" spans="2:22" x14ac:dyDescent="0.25">
      <c r="B32" s="5"/>
      <c r="C32" s="8"/>
      <c r="E32" s="12"/>
      <c r="V32" s="13"/>
    </row>
    <row r="33" spans="2:22" x14ac:dyDescent="0.25">
      <c r="B33" s="5"/>
      <c r="C33" s="8"/>
      <c r="E33" s="12"/>
      <c r="V33" s="13"/>
    </row>
    <row r="34" spans="2:22" x14ac:dyDescent="0.25">
      <c r="B34" s="5"/>
      <c r="C34" s="8"/>
      <c r="E34" s="12"/>
      <c r="V34" s="13"/>
    </row>
    <row r="35" spans="2:22" x14ac:dyDescent="0.25">
      <c r="B35" s="5"/>
      <c r="C35" s="8"/>
      <c r="E35" s="12"/>
      <c r="V35" s="13"/>
    </row>
    <row r="36" spans="2:22" x14ac:dyDescent="0.25">
      <c r="B36" s="5"/>
      <c r="C36" s="8"/>
      <c r="E36" s="12"/>
      <c r="V36" s="13"/>
    </row>
    <row r="37" spans="2:22" x14ac:dyDescent="0.25">
      <c r="B37" s="5"/>
      <c r="C37" s="8"/>
      <c r="E37" s="12"/>
      <c r="V37" s="13"/>
    </row>
    <row r="38" spans="2:22" x14ac:dyDescent="0.25">
      <c r="B38" s="5"/>
      <c r="C38" s="8"/>
      <c r="E38" s="12"/>
      <c r="V38" s="13"/>
    </row>
    <row r="39" spans="2:22" x14ac:dyDescent="0.25">
      <c r="B39" s="5"/>
      <c r="C39" s="8"/>
      <c r="E39" s="12"/>
      <c r="V39" s="13"/>
    </row>
    <row r="40" spans="2:22" x14ac:dyDescent="0.25">
      <c r="B40" s="5"/>
      <c r="C40" s="8"/>
      <c r="E40" s="12"/>
      <c r="V40" s="13"/>
    </row>
    <row r="41" spans="2:22" x14ac:dyDescent="0.25">
      <c r="B41" s="5"/>
      <c r="C41" s="8"/>
      <c r="E41" s="12"/>
      <c r="V41" s="13"/>
    </row>
    <row r="42" spans="2:22" x14ac:dyDescent="0.25">
      <c r="B42" s="5"/>
      <c r="C42" s="8"/>
      <c r="E42" s="12"/>
      <c r="V42" s="13"/>
    </row>
    <row r="43" spans="2:22" x14ac:dyDescent="0.25">
      <c r="B43" s="5"/>
      <c r="C43" s="8"/>
      <c r="E43" s="12"/>
      <c r="V43" s="13"/>
    </row>
    <row r="44" spans="2:22" x14ac:dyDescent="0.25">
      <c r="B44" s="5"/>
      <c r="C44" s="8"/>
      <c r="E44" s="14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15"/>
    </row>
    <row r="45" spans="2:22" x14ac:dyDescent="0.25">
      <c r="B45" s="5"/>
      <c r="C45" s="8"/>
    </row>
    <row r="46" spans="2:22" x14ac:dyDescent="0.25">
      <c r="B46" s="5"/>
      <c r="C46" s="8"/>
    </row>
    <row r="47" spans="2:22" x14ac:dyDescent="0.25">
      <c r="B47" s="5"/>
      <c r="C47" s="8"/>
    </row>
    <row r="48" spans="2:22" x14ac:dyDescent="0.25">
      <c r="B48" s="5"/>
      <c r="C48" s="8"/>
    </row>
    <row r="49" spans="2:3" x14ac:dyDescent="0.25">
      <c r="B49" s="5"/>
      <c r="C49" s="8"/>
    </row>
    <row r="50" spans="2:3" x14ac:dyDescent="0.25">
      <c r="B50" s="5"/>
      <c r="C50" s="8"/>
    </row>
    <row r="51" spans="2:3" x14ac:dyDescent="0.25">
      <c r="B51" s="5"/>
      <c r="C51" s="8"/>
    </row>
    <row r="52" spans="2:3" x14ac:dyDescent="0.25">
      <c r="B52" s="5"/>
      <c r="C52" s="8"/>
    </row>
    <row r="53" spans="2:3" x14ac:dyDescent="0.25">
      <c r="B53" s="5"/>
      <c r="C53" s="8"/>
    </row>
    <row r="54" spans="2:3" x14ac:dyDescent="0.25">
      <c r="B54" s="5"/>
      <c r="C54" s="8"/>
    </row>
    <row r="55" spans="2:3" x14ac:dyDescent="0.25">
      <c r="B55" s="5"/>
      <c r="C55" s="8"/>
    </row>
    <row r="56" spans="2:3" x14ac:dyDescent="0.25">
      <c r="B56" s="5"/>
      <c r="C56" s="8"/>
    </row>
    <row r="57" spans="2:3" x14ac:dyDescent="0.25">
      <c r="B57" s="5"/>
      <c r="C57" s="8"/>
    </row>
    <row r="58" spans="2:3" x14ac:dyDescent="0.25">
      <c r="B58" s="5"/>
      <c r="C58" s="8"/>
    </row>
    <row r="59" spans="2:3" x14ac:dyDescent="0.25">
      <c r="B59" s="5"/>
      <c r="C59" s="8"/>
    </row>
    <row r="60" spans="2:3" x14ac:dyDescent="0.25">
      <c r="B60" s="5"/>
      <c r="C60" s="8"/>
    </row>
    <row r="61" spans="2:3" x14ac:dyDescent="0.25">
      <c r="B61" s="5"/>
      <c r="C61" s="8"/>
    </row>
    <row r="62" spans="2:3" x14ac:dyDescent="0.25">
      <c r="B62" s="5"/>
      <c r="C62" s="8"/>
    </row>
    <row r="63" spans="2:3" x14ac:dyDescent="0.25">
      <c r="B63" s="5"/>
      <c r="C63" s="8"/>
    </row>
    <row r="64" spans="2:3" x14ac:dyDescent="0.25">
      <c r="B64" s="5"/>
      <c r="C64" s="8"/>
    </row>
    <row r="65" spans="2:3" x14ac:dyDescent="0.25">
      <c r="B65" s="5"/>
      <c r="C65" s="8"/>
    </row>
    <row r="66" spans="2:3" x14ac:dyDescent="0.25">
      <c r="B66" s="5"/>
      <c r="C66" s="8"/>
    </row>
    <row r="67" spans="2:3" x14ac:dyDescent="0.25">
      <c r="B67" s="5"/>
      <c r="C67" s="8"/>
    </row>
    <row r="68" spans="2:3" x14ac:dyDescent="0.25">
      <c r="B68" s="5"/>
      <c r="C68" s="8"/>
    </row>
    <row r="69" spans="2:3" x14ac:dyDescent="0.25">
      <c r="B69" s="5"/>
      <c r="C69" s="8"/>
    </row>
    <row r="70" spans="2:3" x14ac:dyDescent="0.25">
      <c r="B70" s="5"/>
      <c r="C70" s="8"/>
    </row>
    <row r="71" spans="2:3" x14ac:dyDescent="0.25">
      <c r="B71" s="5"/>
      <c r="C71" s="8"/>
    </row>
    <row r="72" spans="2:3" x14ac:dyDescent="0.25">
      <c r="B72" s="5"/>
      <c r="C72" s="8"/>
    </row>
    <row r="73" spans="2:3" x14ac:dyDescent="0.25">
      <c r="B73" s="5"/>
      <c r="C73" s="8"/>
    </row>
    <row r="74" spans="2:3" x14ac:dyDescent="0.25">
      <c r="B74" s="5"/>
      <c r="C74" s="8"/>
    </row>
    <row r="75" spans="2:3" x14ac:dyDescent="0.25">
      <c r="B75" s="5"/>
      <c r="C75" s="8"/>
    </row>
    <row r="76" spans="2:3" x14ac:dyDescent="0.25">
      <c r="B76" s="5"/>
      <c r="C76" s="8"/>
    </row>
    <row r="77" spans="2:3" x14ac:dyDescent="0.25">
      <c r="B77" s="5"/>
      <c r="C77" s="8"/>
    </row>
    <row r="78" spans="2:3" x14ac:dyDescent="0.25">
      <c r="B78" s="5"/>
      <c r="C78" s="8"/>
    </row>
    <row r="79" spans="2:3" x14ac:dyDescent="0.25">
      <c r="B79" s="5"/>
      <c r="C79" s="8"/>
    </row>
    <row r="80" spans="2:3" x14ac:dyDescent="0.25">
      <c r="B80" s="5"/>
      <c r="C80" s="8"/>
    </row>
    <row r="81" spans="2:3" x14ac:dyDescent="0.25">
      <c r="B81" s="5"/>
      <c r="C81" s="8"/>
    </row>
    <row r="82" spans="2:3" x14ac:dyDescent="0.25">
      <c r="B82" s="5"/>
      <c r="C82" s="8"/>
    </row>
    <row r="83" spans="2:3" x14ac:dyDescent="0.25">
      <c r="B83" s="5"/>
      <c r="C83" s="8"/>
    </row>
    <row r="84" spans="2:3" x14ac:dyDescent="0.25">
      <c r="B84" s="5"/>
      <c r="C84" s="8"/>
    </row>
    <row r="85" spans="2:3" x14ac:dyDescent="0.25">
      <c r="B85" s="5"/>
      <c r="C85" s="8"/>
    </row>
    <row r="86" spans="2:3" x14ac:dyDescent="0.25">
      <c r="B86" s="5"/>
      <c r="C86" s="8"/>
    </row>
    <row r="87" spans="2:3" x14ac:dyDescent="0.25">
      <c r="B87" s="5"/>
      <c r="C87" s="8"/>
    </row>
    <row r="88" spans="2:3" x14ac:dyDescent="0.25">
      <c r="B88" s="5"/>
      <c r="C88" s="8"/>
    </row>
    <row r="89" spans="2:3" x14ac:dyDescent="0.25">
      <c r="B89" s="5"/>
      <c r="C89" s="8"/>
    </row>
    <row r="90" spans="2:3" x14ac:dyDescent="0.25">
      <c r="B90" s="5"/>
      <c r="C90" s="8"/>
    </row>
    <row r="91" spans="2:3" x14ac:dyDescent="0.25">
      <c r="B91" s="5"/>
      <c r="C91" s="8"/>
    </row>
    <row r="92" spans="2:3" x14ac:dyDescent="0.25">
      <c r="B92" s="5"/>
      <c r="C92" s="8"/>
    </row>
    <row r="93" spans="2:3" x14ac:dyDescent="0.25">
      <c r="B93" s="5"/>
      <c r="C93" s="8"/>
    </row>
    <row r="94" spans="2:3" x14ac:dyDescent="0.25">
      <c r="B94" s="5"/>
      <c r="C94" s="8"/>
    </row>
    <row r="95" spans="2:3" x14ac:dyDescent="0.25">
      <c r="B95" s="5"/>
      <c r="C95" s="8"/>
    </row>
    <row r="96" spans="2:3" x14ac:dyDescent="0.25">
      <c r="B96" s="5"/>
      <c r="C96" s="8"/>
    </row>
    <row r="97" spans="2:3" x14ac:dyDescent="0.25">
      <c r="B97" s="5"/>
      <c r="C97" s="8"/>
    </row>
    <row r="98" spans="2:3" x14ac:dyDescent="0.25">
      <c r="B98" s="5"/>
      <c r="C98" s="8"/>
    </row>
    <row r="99" spans="2:3" x14ac:dyDescent="0.25">
      <c r="B99" s="5"/>
      <c r="C99" s="8"/>
    </row>
    <row r="100" spans="2:3" x14ac:dyDescent="0.25">
      <c r="B100" s="5"/>
      <c r="C100" s="8"/>
    </row>
    <row r="101" spans="2:3" x14ac:dyDescent="0.25">
      <c r="B101" s="5"/>
      <c r="C101" s="8"/>
    </row>
    <row r="102" spans="2:3" x14ac:dyDescent="0.25">
      <c r="B102" s="5"/>
      <c r="C102" s="8"/>
    </row>
    <row r="103" spans="2:3" x14ac:dyDescent="0.25">
      <c r="B103" s="5"/>
      <c r="C103" s="8"/>
    </row>
  </sheetData>
  <mergeCells count="6">
    <mergeCell ref="E23:V24"/>
    <mergeCell ref="B4:C4"/>
    <mergeCell ref="J4:L4"/>
    <mergeCell ref="N4:V4"/>
    <mergeCell ref="J21:K21"/>
    <mergeCell ref="E4:H4"/>
  </mergeCells>
  <pageMargins left="0.7" right="0.7" top="0.75" bottom="0.75" header="0.3" footer="0.3"/>
  <pageSetup orientation="portrait" r:id="rId1"/>
  <headerFooter>
    <oddFooter>&amp;L_x000D_&amp;1#&amp;"Calibri"&amp;10&amp;K000000 Fidelity Internal Information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W103"/>
  <sheetViews>
    <sheetView showGridLines="0" showRowColHeaders="0" workbookViewId="0"/>
  </sheetViews>
  <sheetFormatPr defaultColWidth="9.140625" defaultRowHeight="15" x14ac:dyDescent="0.25"/>
  <cols>
    <col min="1" max="1" width="1.7109375" style="1" customWidth="1"/>
    <col min="2" max="2" width="9.140625" style="2"/>
    <col min="3" max="3" width="9.140625" style="6"/>
    <col min="4" max="4" width="1.7109375" style="1" customWidth="1"/>
    <col min="5" max="5" width="6.140625" style="1" customWidth="1"/>
    <col min="6" max="6" width="7.5703125" style="1" customWidth="1"/>
    <col min="7" max="8" width="9.140625" style="1"/>
    <col min="9" max="9" width="1.7109375" style="1" customWidth="1"/>
    <col min="10" max="11" width="8.7109375" style="1" customWidth="1"/>
    <col min="12" max="12" width="14.7109375" style="1" hidden="1" customWidth="1"/>
    <col min="13" max="17" width="8.7109375" style="1" customWidth="1"/>
    <col min="18" max="18" width="8.7109375" style="1" hidden="1" customWidth="1"/>
    <col min="19" max="19" width="8.7109375" style="1" customWidth="1"/>
    <col min="20" max="20" width="1.7109375" style="1" customWidth="1"/>
    <col min="21" max="16384" width="9.140625" style="1"/>
  </cols>
  <sheetData>
    <row r="1" spans="2:19" ht="12" customHeight="1" x14ac:dyDescent="0.25"/>
    <row r="2" spans="2:19" ht="26.25" x14ac:dyDescent="0.4">
      <c r="B2" s="3" t="s">
        <v>50</v>
      </c>
    </row>
    <row r="3" spans="2:19" ht="12" customHeight="1" x14ac:dyDescent="0.25"/>
    <row r="4" spans="2:19" x14ac:dyDescent="0.25">
      <c r="B4" s="57" t="s">
        <v>2</v>
      </c>
      <c r="C4" s="57"/>
      <c r="E4" s="59" t="s">
        <v>5</v>
      </c>
      <c r="F4" s="60"/>
      <c r="G4" s="60"/>
      <c r="H4" s="61"/>
      <c r="J4" s="58" t="s">
        <v>18</v>
      </c>
      <c r="K4" s="58"/>
      <c r="L4" s="58"/>
      <c r="M4" s="58"/>
      <c r="N4" s="58"/>
      <c r="O4" s="58"/>
      <c r="P4" s="58"/>
      <c r="Q4" s="58"/>
      <c r="R4" s="58"/>
      <c r="S4" s="58"/>
    </row>
    <row r="5" spans="2:19" x14ac:dyDescent="0.25">
      <c r="B5" s="4" t="s">
        <v>0</v>
      </c>
      <c r="C5" s="7" t="s">
        <v>1</v>
      </c>
      <c r="E5" s="18" t="s">
        <v>23</v>
      </c>
      <c r="F5" s="18" t="s">
        <v>3</v>
      </c>
      <c r="G5" s="18" t="s">
        <v>0</v>
      </c>
      <c r="H5" s="18" t="s">
        <v>1</v>
      </c>
      <c r="J5" s="28" t="s">
        <v>51</v>
      </c>
      <c r="K5" s="28" t="s">
        <v>52</v>
      </c>
      <c r="L5" s="18" t="s">
        <v>21</v>
      </c>
      <c r="M5" s="18" t="s">
        <v>7</v>
      </c>
      <c r="N5" s="18" t="s">
        <v>8</v>
      </c>
      <c r="O5" s="18" t="s">
        <v>9</v>
      </c>
      <c r="P5" s="18" t="s">
        <v>10</v>
      </c>
      <c r="Q5" s="18" t="s">
        <v>11</v>
      </c>
      <c r="R5" s="18" t="s">
        <v>22</v>
      </c>
      <c r="S5" s="18" t="s">
        <v>13</v>
      </c>
    </row>
    <row r="6" spans="2:19" x14ac:dyDescent="0.25">
      <c r="B6" s="5"/>
      <c r="C6" s="8"/>
      <c r="E6" s="23" t="str">
        <f t="shared" ref="E6:E21" si="0">IF(F6&lt;&gt;"",IF(F6&gt;0,TEXT(RIGHT(F6,2),"00"),"IN"),"")</f>
        <v/>
      </c>
      <c r="F6" s="11"/>
      <c r="G6" s="16"/>
      <c r="H6" s="16"/>
      <c r="J6" s="27" t="s">
        <v>53</v>
      </c>
      <c r="K6" s="27" t="s">
        <v>54</v>
      </c>
      <c r="L6" s="10"/>
      <c r="M6" s="16"/>
      <c r="N6" s="16"/>
      <c r="O6" s="16"/>
      <c r="P6" s="16"/>
      <c r="Q6" s="16"/>
      <c r="R6" s="16"/>
      <c r="S6" s="16"/>
    </row>
    <row r="7" spans="2:19" x14ac:dyDescent="0.25">
      <c r="B7" s="5"/>
      <c r="C7" s="8"/>
      <c r="E7" s="23" t="str">
        <f t="shared" si="0"/>
        <v/>
      </c>
      <c r="F7" s="11"/>
      <c r="G7" s="16"/>
      <c r="H7" s="16"/>
      <c r="J7" s="27" t="s">
        <v>53</v>
      </c>
      <c r="K7" s="27" t="s">
        <v>53</v>
      </c>
      <c r="L7" s="10"/>
      <c r="M7" s="16"/>
      <c r="N7" s="16"/>
      <c r="O7" s="16"/>
      <c r="P7" s="16"/>
      <c r="Q7" s="16"/>
      <c r="R7" s="16"/>
      <c r="S7" s="16"/>
    </row>
    <row r="8" spans="2:19" x14ac:dyDescent="0.25">
      <c r="B8" s="5"/>
      <c r="C8" s="8"/>
      <c r="E8" s="23" t="str">
        <f t="shared" si="0"/>
        <v/>
      </c>
      <c r="F8" s="11"/>
      <c r="G8" s="16"/>
      <c r="H8" s="16"/>
      <c r="J8" s="27" t="s">
        <v>54</v>
      </c>
      <c r="K8" s="27" t="s">
        <v>54</v>
      </c>
      <c r="L8" s="10"/>
      <c r="M8" s="16"/>
      <c r="N8" s="16"/>
      <c r="O8" s="16"/>
      <c r="P8" s="16"/>
      <c r="Q8" s="16"/>
      <c r="R8" s="16"/>
      <c r="S8" s="16"/>
    </row>
    <row r="9" spans="2:19" x14ac:dyDescent="0.25">
      <c r="B9" s="5"/>
      <c r="C9" s="8"/>
      <c r="E9" s="23" t="str">
        <f t="shared" si="0"/>
        <v/>
      </c>
      <c r="F9" s="11"/>
      <c r="G9" s="16"/>
      <c r="H9" s="16"/>
      <c r="J9" s="27" t="s">
        <v>54</v>
      </c>
      <c r="K9" s="27" t="s">
        <v>53</v>
      </c>
      <c r="L9" s="10"/>
      <c r="M9" s="16"/>
      <c r="N9" s="16"/>
      <c r="O9" s="16"/>
      <c r="P9" s="16"/>
      <c r="Q9" s="16"/>
      <c r="R9" s="16"/>
      <c r="S9" s="16"/>
    </row>
    <row r="10" spans="2:19" x14ac:dyDescent="0.25">
      <c r="B10" s="5"/>
      <c r="C10" s="8"/>
      <c r="E10" s="23" t="str">
        <f t="shared" si="0"/>
        <v/>
      </c>
      <c r="F10" s="11"/>
      <c r="G10" s="16"/>
      <c r="H10" s="16"/>
    </row>
    <row r="11" spans="2:19" x14ac:dyDescent="0.25">
      <c r="B11" s="5"/>
      <c r="C11" s="8"/>
      <c r="E11" s="23" t="str">
        <f t="shared" si="0"/>
        <v/>
      </c>
      <c r="F11" s="11"/>
      <c r="G11" s="16"/>
      <c r="H11" s="16"/>
    </row>
    <row r="12" spans="2:19" x14ac:dyDescent="0.25">
      <c r="B12" s="5"/>
      <c r="C12" s="8"/>
      <c r="E12" s="23" t="str">
        <f t="shared" si="0"/>
        <v/>
      </c>
      <c r="F12" s="11"/>
      <c r="G12" s="16"/>
      <c r="H12" s="16"/>
    </row>
    <row r="13" spans="2:19" x14ac:dyDescent="0.25">
      <c r="B13" s="5"/>
      <c r="C13" s="8"/>
      <c r="E13" s="23" t="str">
        <f t="shared" si="0"/>
        <v/>
      </c>
      <c r="F13" s="11"/>
      <c r="G13" s="16"/>
      <c r="H13" s="16"/>
    </row>
    <row r="14" spans="2:19" x14ac:dyDescent="0.25">
      <c r="B14" s="5"/>
      <c r="C14" s="8"/>
      <c r="E14" s="23" t="str">
        <f t="shared" si="0"/>
        <v/>
      </c>
      <c r="F14" s="11"/>
      <c r="G14" s="16"/>
      <c r="H14" s="16"/>
    </row>
    <row r="15" spans="2:19" x14ac:dyDescent="0.25">
      <c r="B15" s="5"/>
      <c r="C15" s="8"/>
      <c r="E15" s="23" t="str">
        <f t="shared" si="0"/>
        <v/>
      </c>
      <c r="F15" s="11"/>
      <c r="G15" s="16"/>
      <c r="H15" s="16"/>
    </row>
    <row r="16" spans="2:19" x14ac:dyDescent="0.25">
      <c r="B16" s="5"/>
      <c r="C16" s="8"/>
      <c r="E16" s="23" t="str">
        <f t="shared" si="0"/>
        <v/>
      </c>
      <c r="F16" s="11"/>
      <c r="G16" s="16"/>
      <c r="H16" s="16"/>
    </row>
    <row r="17" spans="2:23" x14ac:dyDescent="0.25">
      <c r="B17" s="5"/>
      <c r="C17" s="8"/>
      <c r="E17" s="23" t="str">
        <f t="shared" si="0"/>
        <v/>
      </c>
      <c r="F17" s="11"/>
      <c r="G17" s="16"/>
      <c r="H17" s="16"/>
    </row>
    <row r="18" spans="2:23" x14ac:dyDescent="0.25">
      <c r="B18" s="5"/>
      <c r="C18" s="8"/>
      <c r="E18" s="23" t="str">
        <f t="shared" si="0"/>
        <v/>
      </c>
      <c r="F18" s="11"/>
      <c r="G18" s="16"/>
      <c r="H18" s="16"/>
    </row>
    <row r="19" spans="2:23" x14ac:dyDescent="0.25">
      <c r="B19" s="5"/>
      <c r="C19" s="8"/>
      <c r="E19" s="23" t="str">
        <f t="shared" si="0"/>
        <v/>
      </c>
      <c r="F19" s="11"/>
      <c r="G19" s="16"/>
      <c r="H19" s="16"/>
    </row>
    <row r="20" spans="2:23" x14ac:dyDescent="0.25">
      <c r="B20" s="5"/>
      <c r="C20" s="8"/>
      <c r="E20" s="23" t="str">
        <f t="shared" si="0"/>
        <v/>
      </c>
      <c r="F20" s="11"/>
      <c r="G20" s="16"/>
      <c r="H20" s="16"/>
    </row>
    <row r="21" spans="2:23" x14ac:dyDescent="0.25">
      <c r="B21" s="5"/>
      <c r="C21" s="8"/>
      <c r="E21" s="23" t="str">
        <f t="shared" si="0"/>
        <v/>
      </c>
      <c r="F21" s="11"/>
      <c r="G21" s="16"/>
      <c r="H21" s="16"/>
    </row>
    <row r="22" spans="2:23" x14ac:dyDescent="0.25">
      <c r="B22" s="5"/>
      <c r="C22" s="8"/>
    </row>
    <row r="23" spans="2:23" x14ac:dyDescent="0.25">
      <c r="B23" s="5"/>
      <c r="C23" s="8"/>
      <c r="E23" s="51" t="s">
        <v>12</v>
      </c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29"/>
      <c r="U23" s="29"/>
      <c r="V23" s="29"/>
      <c r="W23" s="30"/>
    </row>
    <row r="24" spans="2:23" x14ac:dyDescent="0.25">
      <c r="B24" s="5"/>
      <c r="C24" s="8"/>
      <c r="E24" s="5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31"/>
      <c r="U24" s="31"/>
      <c r="V24" s="31"/>
      <c r="W24" s="32"/>
    </row>
    <row r="25" spans="2:23" x14ac:dyDescent="0.25">
      <c r="B25" s="5"/>
      <c r="C25" s="8"/>
      <c r="E25" s="12"/>
      <c r="W25" s="13"/>
    </row>
    <row r="26" spans="2:23" x14ac:dyDescent="0.25">
      <c r="B26" s="5"/>
      <c r="C26" s="8"/>
      <c r="E26" s="12"/>
      <c r="W26" s="13"/>
    </row>
    <row r="27" spans="2:23" x14ac:dyDescent="0.25">
      <c r="B27" s="5"/>
      <c r="C27" s="8"/>
      <c r="E27" s="12"/>
      <c r="W27" s="13"/>
    </row>
    <row r="28" spans="2:23" x14ac:dyDescent="0.25">
      <c r="B28" s="5"/>
      <c r="C28" s="8"/>
      <c r="E28" s="12"/>
      <c r="W28" s="13"/>
    </row>
    <row r="29" spans="2:23" x14ac:dyDescent="0.25">
      <c r="B29" s="5"/>
      <c r="C29" s="8"/>
      <c r="E29" s="12"/>
      <c r="W29" s="13"/>
    </row>
    <row r="30" spans="2:23" x14ac:dyDescent="0.25">
      <c r="B30" s="5"/>
      <c r="C30" s="8"/>
      <c r="E30" s="12"/>
      <c r="W30" s="13"/>
    </row>
    <row r="31" spans="2:23" x14ac:dyDescent="0.25">
      <c r="B31" s="5"/>
      <c r="C31" s="8"/>
      <c r="E31" s="12"/>
      <c r="W31" s="13"/>
    </row>
    <row r="32" spans="2:23" x14ac:dyDescent="0.25">
      <c r="B32" s="5"/>
      <c r="C32" s="8"/>
      <c r="E32" s="12"/>
      <c r="W32" s="13"/>
    </row>
    <row r="33" spans="2:23" x14ac:dyDescent="0.25">
      <c r="B33" s="5"/>
      <c r="C33" s="8"/>
      <c r="E33" s="12"/>
      <c r="W33" s="13"/>
    </row>
    <row r="34" spans="2:23" x14ac:dyDescent="0.25">
      <c r="B34" s="5"/>
      <c r="C34" s="8"/>
      <c r="E34" s="12"/>
      <c r="W34" s="13"/>
    </row>
    <row r="35" spans="2:23" x14ac:dyDescent="0.25">
      <c r="B35" s="5"/>
      <c r="C35" s="8"/>
      <c r="E35" s="12"/>
      <c r="W35" s="13"/>
    </row>
    <row r="36" spans="2:23" x14ac:dyDescent="0.25">
      <c r="B36" s="5"/>
      <c r="C36" s="8"/>
      <c r="E36" s="12"/>
      <c r="W36" s="13"/>
    </row>
    <row r="37" spans="2:23" x14ac:dyDescent="0.25">
      <c r="B37" s="5"/>
      <c r="C37" s="8"/>
      <c r="E37" s="12"/>
      <c r="W37" s="13"/>
    </row>
    <row r="38" spans="2:23" x14ac:dyDescent="0.25">
      <c r="B38" s="5"/>
      <c r="C38" s="8"/>
      <c r="E38" s="12"/>
      <c r="W38" s="13"/>
    </row>
    <row r="39" spans="2:23" x14ac:dyDescent="0.25">
      <c r="B39" s="5"/>
      <c r="C39" s="8"/>
      <c r="E39" s="12"/>
      <c r="W39" s="13"/>
    </row>
    <row r="40" spans="2:23" x14ac:dyDescent="0.25">
      <c r="B40" s="5"/>
      <c r="C40" s="8"/>
      <c r="E40" s="12"/>
      <c r="W40" s="13"/>
    </row>
    <row r="41" spans="2:23" x14ac:dyDescent="0.25">
      <c r="B41" s="5"/>
      <c r="C41" s="8"/>
      <c r="E41" s="12"/>
      <c r="W41" s="13"/>
    </row>
    <row r="42" spans="2:23" x14ac:dyDescent="0.25">
      <c r="B42" s="5"/>
      <c r="C42" s="8"/>
      <c r="E42" s="12"/>
      <c r="W42" s="13"/>
    </row>
    <row r="43" spans="2:23" x14ac:dyDescent="0.25">
      <c r="B43" s="5"/>
      <c r="C43" s="8"/>
      <c r="E43" s="12"/>
      <c r="W43" s="13"/>
    </row>
    <row r="44" spans="2:23" x14ac:dyDescent="0.25">
      <c r="B44" s="5"/>
      <c r="C44" s="8"/>
      <c r="E44" s="14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15"/>
    </row>
    <row r="45" spans="2:23" x14ac:dyDescent="0.25">
      <c r="B45" s="5"/>
      <c r="C45" s="8"/>
    </row>
    <row r="46" spans="2:23" x14ac:dyDescent="0.25">
      <c r="B46" s="5"/>
      <c r="C46" s="8"/>
    </row>
    <row r="47" spans="2:23" x14ac:dyDescent="0.25">
      <c r="B47" s="5"/>
      <c r="C47" s="8"/>
    </row>
    <row r="48" spans="2:23" x14ac:dyDescent="0.25">
      <c r="B48" s="5"/>
      <c r="C48" s="8"/>
    </row>
    <row r="49" spans="2:3" x14ac:dyDescent="0.25">
      <c r="B49" s="5"/>
      <c r="C49" s="8"/>
    </row>
    <row r="50" spans="2:3" x14ac:dyDescent="0.25">
      <c r="B50" s="5"/>
      <c r="C50" s="8"/>
    </row>
    <row r="51" spans="2:3" x14ac:dyDescent="0.25">
      <c r="B51" s="5"/>
      <c r="C51" s="8"/>
    </row>
    <row r="52" spans="2:3" x14ac:dyDescent="0.25">
      <c r="B52" s="5"/>
      <c r="C52" s="8"/>
    </row>
    <row r="53" spans="2:3" x14ac:dyDescent="0.25">
      <c r="B53" s="5"/>
      <c r="C53" s="8"/>
    </row>
    <row r="54" spans="2:3" x14ac:dyDescent="0.25">
      <c r="B54" s="5"/>
      <c r="C54" s="8"/>
    </row>
    <row r="55" spans="2:3" x14ac:dyDescent="0.25">
      <c r="B55" s="5"/>
      <c r="C55" s="8"/>
    </row>
    <row r="56" spans="2:3" x14ac:dyDescent="0.25">
      <c r="B56" s="5"/>
      <c r="C56" s="8"/>
    </row>
    <row r="57" spans="2:3" x14ac:dyDescent="0.25">
      <c r="B57" s="5"/>
      <c r="C57" s="8"/>
    </row>
    <row r="58" spans="2:3" x14ac:dyDescent="0.25">
      <c r="B58" s="5"/>
      <c r="C58" s="8"/>
    </row>
    <row r="59" spans="2:3" x14ac:dyDescent="0.25">
      <c r="B59" s="5"/>
      <c r="C59" s="8"/>
    </row>
    <row r="60" spans="2:3" x14ac:dyDescent="0.25">
      <c r="B60" s="5"/>
      <c r="C60" s="8"/>
    </row>
    <row r="61" spans="2:3" x14ac:dyDescent="0.25">
      <c r="B61" s="5"/>
      <c r="C61" s="8"/>
    </row>
    <row r="62" spans="2:3" x14ac:dyDescent="0.25">
      <c r="B62" s="5"/>
      <c r="C62" s="8"/>
    </row>
    <row r="63" spans="2:3" x14ac:dyDescent="0.25">
      <c r="B63" s="5"/>
      <c r="C63" s="8"/>
    </row>
    <row r="64" spans="2:3" x14ac:dyDescent="0.25">
      <c r="B64" s="5"/>
      <c r="C64" s="8"/>
    </row>
    <row r="65" spans="2:3" x14ac:dyDescent="0.25">
      <c r="B65" s="5"/>
      <c r="C65" s="8"/>
    </row>
    <row r="66" spans="2:3" x14ac:dyDescent="0.25">
      <c r="B66" s="5"/>
      <c r="C66" s="8"/>
    </row>
    <row r="67" spans="2:3" x14ac:dyDescent="0.25">
      <c r="B67" s="5"/>
      <c r="C67" s="8"/>
    </row>
    <row r="68" spans="2:3" x14ac:dyDescent="0.25">
      <c r="B68" s="5"/>
      <c r="C68" s="8"/>
    </row>
    <row r="69" spans="2:3" x14ac:dyDescent="0.25">
      <c r="B69" s="5"/>
      <c r="C69" s="8"/>
    </row>
    <row r="70" spans="2:3" x14ac:dyDescent="0.25">
      <c r="B70" s="5"/>
      <c r="C70" s="8"/>
    </row>
    <row r="71" spans="2:3" x14ac:dyDescent="0.25">
      <c r="B71" s="5"/>
      <c r="C71" s="8"/>
    </row>
    <row r="72" spans="2:3" x14ac:dyDescent="0.25">
      <c r="B72" s="5"/>
      <c r="C72" s="8"/>
    </row>
    <row r="73" spans="2:3" x14ac:dyDescent="0.25">
      <c r="B73" s="5"/>
      <c r="C73" s="8"/>
    </row>
    <row r="74" spans="2:3" x14ac:dyDescent="0.25">
      <c r="B74" s="5"/>
      <c r="C74" s="8"/>
    </row>
    <row r="75" spans="2:3" x14ac:dyDescent="0.25">
      <c r="B75" s="5"/>
      <c r="C75" s="8"/>
    </row>
    <row r="76" spans="2:3" x14ac:dyDescent="0.25">
      <c r="B76" s="5"/>
      <c r="C76" s="8"/>
    </row>
    <row r="77" spans="2:3" x14ac:dyDescent="0.25">
      <c r="B77" s="5"/>
      <c r="C77" s="8"/>
    </row>
    <row r="78" spans="2:3" x14ac:dyDescent="0.25">
      <c r="B78" s="5"/>
      <c r="C78" s="8"/>
    </row>
    <row r="79" spans="2:3" x14ac:dyDescent="0.25">
      <c r="B79" s="5"/>
      <c r="C79" s="8"/>
    </row>
    <row r="80" spans="2:3" x14ac:dyDescent="0.25">
      <c r="B80" s="5"/>
      <c r="C80" s="8"/>
    </row>
    <row r="81" spans="2:3" x14ac:dyDescent="0.25">
      <c r="B81" s="5"/>
      <c r="C81" s="8"/>
    </row>
    <row r="82" spans="2:3" x14ac:dyDescent="0.25">
      <c r="B82" s="5"/>
      <c r="C82" s="8"/>
    </row>
    <row r="83" spans="2:3" x14ac:dyDescent="0.25">
      <c r="B83" s="5"/>
      <c r="C83" s="8"/>
    </row>
    <row r="84" spans="2:3" x14ac:dyDescent="0.25">
      <c r="B84" s="5"/>
      <c r="C84" s="8"/>
    </row>
    <row r="85" spans="2:3" x14ac:dyDescent="0.25">
      <c r="B85" s="5"/>
      <c r="C85" s="8"/>
    </row>
    <row r="86" spans="2:3" x14ac:dyDescent="0.25">
      <c r="B86" s="5"/>
      <c r="C86" s="8"/>
    </row>
    <row r="87" spans="2:3" x14ac:dyDescent="0.25">
      <c r="B87" s="5"/>
      <c r="C87" s="8"/>
    </row>
    <row r="88" spans="2:3" x14ac:dyDescent="0.25">
      <c r="B88" s="5"/>
      <c r="C88" s="8"/>
    </row>
    <row r="89" spans="2:3" x14ac:dyDescent="0.25">
      <c r="B89" s="5"/>
      <c r="C89" s="8"/>
    </row>
    <row r="90" spans="2:3" x14ac:dyDescent="0.25">
      <c r="B90" s="5"/>
      <c r="C90" s="8"/>
    </row>
    <row r="91" spans="2:3" x14ac:dyDescent="0.25">
      <c r="B91" s="5"/>
      <c r="C91" s="8"/>
    </row>
    <row r="92" spans="2:3" x14ac:dyDescent="0.25">
      <c r="B92" s="5"/>
      <c r="C92" s="8"/>
    </row>
    <row r="93" spans="2:3" x14ac:dyDescent="0.25">
      <c r="B93" s="5"/>
      <c r="C93" s="8"/>
    </row>
    <row r="94" spans="2:3" x14ac:dyDescent="0.25">
      <c r="B94" s="5"/>
      <c r="C94" s="8"/>
    </row>
    <row r="95" spans="2:3" x14ac:dyDescent="0.25">
      <c r="B95" s="5"/>
      <c r="C95" s="8"/>
    </row>
    <row r="96" spans="2:3" x14ac:dyDescent="0.25">
      <c r="B96" s="5"/>
      <c r="C96" s="8"/>
    </row>
    <row r="97" spans="2:3" x14ac:dyDescent="0.25">
      <c r="B97" s="5"/>
      <c r="C97" s="8"/>
    </row>
    <row r="98" spans="2:3" x14ac:dyDescent="0.25">
      <c r="B98" s="5"/>
      <c r="C98" s="8"/>
    </row>
    <row r="99" spans="2:3" x14ac:dyDescent="0.25">
      <c r="B99" s="5"/>
      <c r="C99" s="8"/>
    </row>
    <row r="100" spans="2:3" x14ac:dyDescent="0.25">
      <c r="B100" s="5"/>
      <c r="C100" s="8"/>
    </row>
    <row r="101" spans="2:3" x14ac:dyDescent="0.25">
      <c r="B101" s="5"/>
      <c r="C101" s="8"/>
    </row>
    <row r="102" spans="2:3" x14ac:dyDescent="0.25">
      <c r="B102" s="5"/>
      <c r="C102" s="8"/>
    </row>
    <row r="103" spans="2:3" x14ac:dyDescent="0.25">
      <c r="B103" s="5"/>
      <c r="C103" s="8"/>
    </row>
  </sheetData>
  <mergeCells count="4">
    <mergeCell ref="B4:C4"/>
    <mergeCell ref="E4:H4"/>
    <mergeCell ref="J4:S4"/>
    <mergeCell ref="E23:S24"/>
  </mergeCells>
  <pageMargins left="0.7" right="0.7" top="0.75" bottom="0.75" header="0.3" footer="0.3"/>
  <pageSetup orientation="portrait" r:id="rId1"/>
  <headerFooter>
    <oddFooter>&amp;L_x000D_&amp;1#&amp;"Calibri"&amp;10&amp;K000000 Fidelity Internal Information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103"/>
  <sheetViews>
    <sheetView showGridLines="0" showRowColHeaders="0" workbookViewId="0">
      <selection activeCell="Q7" sqref="Q7"/>
    </sheetView>
  </sheetViews>
  <sheetFormatPr defaultColWidth="9.140625" defaultRowHeight="15" x14ac:dyDescent="0.25"/>
  <cols>
    <col min="1" max="1" width="1.7109375" style="1" customWidth="1"/>
    <col min="2" max="2" width="9.140625" style="2"/>
    <col min="3" max="3" width="9.140625" style="6"/>
    <col min="4" max="4" width="1.7109375" style="1" customWidth="1"/>
    <col min="5" max="5" width="6.140625" style="1" customWidth="1"/>
    <col min="6" max="6" width="7.5703125" style="1" customWidth="1"/>
    <col min="7" max="8" width="9.140625" style="1"/>
    <col min="9" max="9" width="1.7109375" style="1" customWidth="1"/>
    <col min="10" max="13" width="9.140625" style="1"/>
    <col min="14" max="14" width="1.7109375" style="1" customWidth="1"/>
    <col min="15" max="15" width="22.5703125" style="1" customWidth="1"/>
    <col min="16" max="16" width="14.7109375" style="1" hidden="1" customWidth="1"/>
    <col min="17" max="21" width="8.7109375" style="1" customWidth="1"/>
    <col min="22" max="22" width="8.7109375" style="1" hidden="1" customWidth="1"/>
    <col min="23" max="23" width="8.7109375" style="1" customWidth="1"/>
    <col min="24" max="24" width="1.7109375" style="1" customWidth="1"/>
    <col min="25" max="16384" width="9.140625" style="1"/>
  </cols>
  <sheetData>
    <row r="1" spans="2:23" ht="12" customHeight="1" x14ac:dyDescent="0.25"/>
    <row r="2" spans="2:23" ht="26.25" x14ac:dyDescent="0.4">
      <c r="B2" s="3" t="s">
        <v>55</v>
      </c>
    </row>
    <row r="3" spans="2:23" ht="12" customHeight="1" x14ac:dyDescent="0.25"/>
    <row r="4" spans="2:23" x14ac:dyDescent="0.25">
      <c r="B4" s="57" t="s">
        <v>2</v>
      </c>
      <c r="C4" s="57"/>
      <c r="E4" s="59" t="s">
        <v>5</v>
      </c>
      <c r="F4" s="60"/>
      <c r="G4" s="60"/>
      <c r="H4" s="61"/>
      <c r="J4" s="58" t="s">
        <v>6</v>
      </c>
      <c r="K4" s="58"/>
      <c r="L4" s="58"/>
      <c r="M4" s="58"/>
      <c r="O4" s="58" t="s">
        <v>18</v>
      </c>
      <c r="P4" s="58"/>
      <c r="Q4" s="58"/>
      <c r="R4" s="58"/>
      <c r="S4" s="58"/>
      <c r="T4" s="58"/>
      <c r="U4" s="58"/>
      <c r="V4" s="58"/>
      <c r="W4" s="58"/>
    </row>
    <row r="5" spans="2:23" x14ac:dyDescent="0.25">
      <c r="B5" s="4" t="s">
        <v>0</v>
      </c>
      <c r="C5" s="7" t="s">
        <v>1</v>
      </c>
      <c r="E5" s="18" t="s">
        <v>23</v>
      </c>
      <c r="F5" s="18" t="s">
        <v>3</v>
      </c>
      <c r="G5" s="18" t="s">
        <v>0</v>
      </c>
      <c r="H5" s="18" t="s">
        <v>1</v>
      </c>
      <c r="J5" s="18" t="s">
        <v>4</v>
      </c>
      <c r="K5" s="18" t="s">
        <v>0</v>
      </c>
      <c r="L5" s="18" t="s">
        <v>58</v>
      </c>
      <c r="M5" s="18" t="s">
        <v>59</v>
      </c>
      <c r="O5" s="18" t="s">
        <v>17</v>
      </c>
      <c r="P5" s="18" t="s">
        <v>21</v>
      </c>
      <c r="Q5" s="18" t="s">
        <v>7</v>
      </c>
      <c r="R5" s="18" t="s">
        <v>8</v>
      </c>
      <c r="S5" s="18" t="s">
        <v>9</v>
      </c>
      <c r="T5" s="18" t="s">
        <v>10</v>
      </c>
      <c r="U5" s="18" t="s">
        <v>11</v>
      </c>
      <c r="V5" s="18" t="s">
        <v>22</v>
      </c>
      <c r="W5" s="18" t="s">
        <v>13</v>
      </c>
    </row>
    <row r="6" spans="2:23" x14ac:dyDescent="0.25">
      <c r="B6" s="5"/>
      <c r="C6" s="8"/>
      <c r="E6" s="23" t="str">
        <f t="shared" ref="E6:E21" si="0">IF(F6&lt;&gt;"",IF(F6&gt;0,TEXT(RIGHT(F6,2),"00"),"IN"),"")</f>
        <v/>
      </c>
      <c r="F6" s="11"/>
      <c r="G6" s="21"/>
      <c r="H6" s="22"/>
      <c r="J6" s="19" t="s">
        <v>7</v>
      </c>
      <c r="K6" s="10">
        <v>30</v>
      </c>
      <c r="L6" s="24" t="e">
        <f>IF(Q7&lt;&gt;"",Q7,NA())</f>
        <v>#N/A</v>
      </c>
      <c r="M6" s="24" t="e">
        <f>IF(Q8&lt;&gt;"",Q8,NA())</f>
        <v>#N/A</v>
      </c>
      <c r="O6" s="10" t="s">
        <v>16</v>
      </c>
      <c r="P6" s="10"/>
      <c r="Q6" s="16"/>
      <c r="R6" s="16"/>
      <c r="S6" s="16"/>
      <c r="T6" s="16"/>
      <c r="U6" s="16"/>
      <c r="V6" s="16"/>
      <c r="W6" s="16"/>
    </row>
    <row r="7" spans="2:23" x14ac:dyDescent="0.25">
      <c r="B7" s="5"/>
      <c r="C7" s="8"/>
      <c r="E7" s="23" t="str">
        <f t="shared" si="0"/>
        <v/>
      </c>
      <c r="F7" s="11"/>
      <c r="G7" s="21"/>
      <c r="H7" s="22"/>
      <c r="J7" s="19" t="s">
        <v>8</v>
      </c>
      <c r="K7" s="10">
        <v>40</v>
      </c>
      <c r="L7" s="24" t="e">
        <f>IF(R7&lt;&gt;"",R7,NA())</f>
        <v>#N/A</v>
      </c>
      <c r="M7" s="24" t="e">
        <f>IF(R8&lt;&gt;"",R8,NA())</f>
        <v>#N/A</v>
      </c>
      <c r="O7" s="10" t="s">
        <v>56</v>
      </c>
      <c r="P7" s="10"/>
      <c r="Q7" s="17"/>
      <c r="R7" s="17"/>
      <c r="S7" s="17"/>
      <c r="T7" s="17"/>
      <c r="U7" s="17"/>
      <c r="V7" s="17"/>
      <c r="W7" s="17"/>
    </row>
    <row r="8" spans="2:23" x14ac:dyDescent="0.25">
      <c r="B8" s="5"/>
      <c r="C8" s="8"/>
      <c r="E8" s="23" t="str">
        <f t="shared" si="0"/>
        <v/>
      </c>
      <c r="F8" s="11"/>
      <c r="G8" s="21"/>
      <c r="H8" s="22"/>
      <c r="J8" s="19" t="s">
        <v>9</v>
      </c>
      <c r="K8" s="10">
        <v>50</v>
      </c>
      <c r="L8" s="24" t="e">
        <f>IF(S7&lt;&gt;"",S7,NA())</f>
        <v>#N/A</v>
      </c>
      <c r="M8" s="24" t="e">
        <f>IF(S8&lt;&gt;"",S8,NA())</f>
        <v>#N/A</v>
      </c>
      <c r="O8" s="10" t="s">
        <v>57</v>
      </c>
      <c r="P8" s="10"/>
      <c r="Q8" s="17"/>
      <c r="R8" s="17"/>
      <c r="S8" s="17"/>
      <c r="T8" s="17"/>
      <c r="U8" s="17"/>
      <c r="V8" s="17"/>
      <c r="W8" s="17"/>
    </row>
    <row r="9" spans="2:23" x14ac:dyDescent="0.25">
      <c r="B9" s="5"/>
      <c r="C9" s="8"/>
      <c r="E9" s="23" t="str">
        <f t="shared" si="0"/>
        <v/>
      </c>
      <c r="F9" s="11"/>
      <c r="G9" s="21"/>
      <c r="H9" s="22"/>
      <c r="J9" s="19" t="s">
        <v>10</v>
      </c>
      <c r="K9" s="10">
        <v>60</v>
      </c>
      <c r="L9" s="24" t="e">
        <f>IF(T7&lt;&gt;"",T7,NA())</f>
        <v>#N/A</v>
      </c>
      <c r="M9" s="24" t="e">
        <f>IF(T8&lt;&gt;"",T8,NA())</f>
        <v>#N/A</v>
      </c>
    </row>
    <row r="10" spans="2:23" x14ac:dyDescent="0.25">
      <c r="B10" s="5"/>
      <c r="C10" s="8"/>
      <c r="E10" s="23" t="str">
        <f t="shared" si="0"/>
        <v/>
      </c>
      <c r="F10" s="11"/>
      <c r="G10" s="21"/>
      <c r="H10" s="22"/>
      <c r="J10" s="19" t="s">
        <v>11</v>
      </c>
      <c r="K10" s="10">
        <v>70</v>
      </c>
      <c r="L10" s="24" t="e">
        <f>IF(U7&lt;&gt;"",U7,NA())</f>
        <v>#N/A</v>
      </c>
      <c r="M10" s="24" t="e">
        <f>IF(U8&lt;&gt;"",U8,NA())</f>
        <v>#N/A</v>
      </c>
    </row>
    <row r="11" spans="2:23" x14ac:dyDescent="0.25">
      <c r="B11" s="5"/>
      <c r="C11" s="8"/>
      <c r="E11" s="23" t="str">
        <f t="shared" si="0"/>
        <v/>
      </c>
      <c r="F11" s="11"/>
      <c r="G11" s="21"/>
      <c r="H11" s="22"/>
    </row>
    <row r="12" spans="2:23" x14ac:dyDescent="0.25">
      <c r="B12" s="5"/>
      <c r="C12" s="8"/>
      <c r="E12" s="23" t="str">
        <f t="shared" si="0"/>
        <v/>
      </c>
      <c r="F12" s="11"/>
      <c r="G12" s="21"/>
      <c r="H12" s="22"/>
    </row>
    <row r="13" spans="2:23" x14ac:dyDescent="0.25">
      <c r="B13" s="5"/>
      <c r="C13" s="8"/>
      <c r="E13" s="23" t="str">
        <f t="shared" si="0"/>
        <v/>
      </c>
      <c r="F13" s="11"/>
      <c r="G13" s="21"/>
      <c r="H13" s="22"/>
    </row>
    <row r="14" spans="2:23" x14ac:dyDescent="0.25">
      <c r="B14" s="5"/>
      <c r="C14" s="8"/>
      <c r="E14" s="23" t="str">
        <f t="shared" si="0"/>
        <v/>
      </c>
      <c r="F14" s="11"/>
      <c r="G14" s="21"/>
      <c r="H14" s="22"/>
    </row>
    <row r="15" spans="2:23" x14ac:dyDescent="0.25">
      <c r="B15" s="5"/>
      <c r="C15" s="8"/>
      <c r="E15" s="23" t="str">
        <f t="shared" si="0"/>
        <v/>
      </c>
      <c r="F15" s="11"/>
      <c r="G15" s="21"/>
      <c r="H15" s="22"/>
    </row>
    <row r="16" spans="2:23" x14ac:dyDescent="0.25">
      <c r="B16" s="5"/>
      <c r="C16" s="8"/>
      <c r="E16" s="23" t="str">
        <f t="shared" si="0"/>
        <v/>
      </c>
      <c r="F16" s="11"/>
      <c r="G16" s="21"/>
      <c r="H16" s="22"/>
    </row>
    <row r="17" spans="2:20" x14ac:dyDescent="0.25">
      <c r="B17" s="5"/>
      <c r="C17" s="8"/>
      <c r="E17" s="23" t="str">
        <f t="shared" si="0"/>
        <v/>
      </c>
      <c r="F17" s="11"/>
      <c r="G17" s="21"/>
      <c r="H17" s="22"/>
    </row>
    <row r="18" spans="2:20" x14ac:dyDescent="0.25">
      <c r="B18" s="5"/>
      <c r="C18" s="8"/>
      <c r="E18" s="23" t="str">
        <f t="shared" si="0"/>
        <v/>
      </c>
      <c r="F18" s="11"/>
      <c r="G18" s="21"/>
      <c r="H18" s="22"/>
    </row>
    <row r="19" spans="2:20" x14ac:dyDescent="0.25">
      <c r="B19" s="5"/>
      <c r="C19" s="8"/>
      <c r="E19" s="23" t="str">
        <f t="shared" si="0"/>
        <v/>
      </c>
      <c r="F19" s="11"/>
      <c r="G19" s="21"/>
      <c r="H19" s="22"/>
    </row>
    <row r="20" spans="2:20" x14ac:dyDescent="0.25">
      <c r="B20" s="5"/>
      <c r="C20" s="8"/>
      <c r="E20" s="23" t="str">
        <f t="shared" si="0"/>
        <v/>
      </c>
      <c r="F20" s="11"/>
      <c r="G20" s="21"/>
      <c r="H20" s="22"/>
    </row>
    <row r="21" spans="2:20" x14ac:dyDescent="0.25">
      <c r="B21" s="5"/>
      <c r="C21" s="8"/>
      <c r="E21" s="23" t="str">
        <f t="shared" si="0"/>
        <v/>
      </c>
      <c r="F21" s="11"/>
      <c r="G21" s="21"/>
      <c r="H21" s="22"/>
      <c r="L21" s="33"/>
      <c r="M21" s="33"/>
    </row>
    <row r="22" spans="2:20" x14ac:dyDescent="0.25">
      <c r="B22" s="5"/>
      <c r="C22" s="8"/>
    </row>
    <row r="23" spans="2:20" x14ac:dyDescent="0.25">
      <c r="B23" s="5"/>
      <c r="C23" s="8"/>
      <c r="E23" s="51" t="s">
        <v>12</v>
      </c>
      <c r="F23" s="52"/>
      <c r="G23" s="52"/>
      <c r="H23" s="52"/>
      <c r="I23" s="52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6"/>
    </row>
    <row r="24" spans="2:20" x14ac:dyDescent="0.25">
      <c r="B24" s="5"/>
      <c r="C24" s="8"/>
      <c r="E24" s="54"/>
      <c r="F24" s="55"/>
      <c r="G24" s="55"/>
      <c r="H24" s="55"/>
      <c r="I24" s="55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8"/>
    </row>
    <row r="25" spans="2:20" x14ac:dyDescent="0.25">
      <c r="B25" s="5"/>
      <c r="C25" s="8"/>
      <c r="E25" s="12"/>
      <c r="T25" s="13"/>
    </row>
    <row r="26" spans="2:20" x14ac:dyDescent="0.25">
      <c r="B26" s="5"/>
      <c r="C26" s="8"/>
      <c r="E26" s="12"/>
      <c r="T26" s="13"/>
    </row>
    <row r="27" spans="2:20" x14ac:dyDescent="0.25">
      <c r="B27" s="5"/>
      <c r="C27" s="8"/>
      <c r="E27" s="12"/>
      <c r="T27" s="13"/>
    </row>
    <row r="28" spans="2:20" x14ac:dyDescent="0.25">
      <c r="B28" s="5"/>
      <c r="C28" s="8"/>
      <c r="E28" s="12"/>
      <c r="T28" s="13"/>
    </row>
    <row r="29" spans="2:20" x14ac:dyDescent="0.25">
      <c r="B29" s="5"/>
      <c r="C29" s="8"/>
      <c r="E29" s="12"/>
      <c r="T29" s="13"/>
    </row>
    <row r="30" spans="2:20" x14ac:dyDescent="0.25">
      <c r="B30" s="5"/>
      <c r="C30" s="8"/>
      <c r="E30" s="12"/>
      <c r="T30" s="13"/>
    </row>
    <row r="31" spans="2:20" x14ac:dyDescent="0.25">
      <c r="B31" s="5"/>
      <c r="C31" s="8"/>
      <c r="E31" s="12"/>
      <c r="T31" s="13"/>
    </row>
    <row r="32" spans="2:20" x14ac:dyDescent="0.25">
      <c r="B32" s="5"/>
      <c r="C32" s="8"/>
      <c r="E32" s="12"/>
      <c r="T32" s="13"/>
    </row>
    <row r="33" spans="2:20" x14ac:dyDescent="0.25">
      <c r="B33" s="5"/>
      <c r="C33" s="8"/>
      <c r="E33" s="12"/>
      <c r="T33" s="13"/>
    </row>
    <row r="34" spans="2:20" x14ac:dyDescent="0.25">
      <c r="B34" s="5"/>
      <c r="C34" s="8"/>
      <c r="E34" s="12"/>
      <c r="T34" s="13"/>
    </row>
    <row r="35" spans="2:20" x14ac:dyDescent="0.25">
      <c r="B35" s="5"/>
      <c r="C35" s="8"/>
      <c r="E35" s="12"/>
      <c r="T35" s="13"/>
    </row>
    <row r="36" spans="2:20" x14ac:dyDescent="0.25">
      <c r="B36" s="5"/>
      <c r="C36" s="8"/>
      <c r="E36" s="12"/>
      <c r="T36" s="13"/>
    </row>
    <row r="37" spans="2:20" x14ac:dyDescent="0.25">
      <c r="B37" s="5"/>
      <c r="C37" s="8"/>
      <c r="E37" s="12"/>
      <c r="T37" s="13"/>
    </row>
    <row r="38" spans="2:20" x14ac:dyDescent="0.25">
      <c r="B38" s="5"/>
      <c r="C38" s="8"/>
      <c r="E38" s="12"/>
      <c r="T38" s="13"/>
    </row>
    <row r="39" spans="2:20" x14ac:dyDescent="0.25">
      <c r="B39" s="5"/>
      <c r="C39" s="8"/>
      <c r="E39" s="12"/>
      <c r="T39" s="13"/>
    </row>
    <row r="40" spans="2:20" x14ac:dyDescent="0.25">
      <c r="B40" s="5"/>
      <c r="C40" s="8"/>
      <c r="E40" s="12"/>
      <c r="T40" s="13"/>
    </row>
    <row r="41" spans="2:20" x14ac:dyDescent="0.25">
      <c r="B41" s="5"/>
      <c r="C41" s="8"/>
      <c r="E41" s="12"/>
      <c r="T41" s="13"/>
    </row>
    <row r="42" spans="2:20" x14ac:dyDescent="0.25">
      <c r="B42" s="5"/>
      <c r="C42" s="8"/>
      <c r="E42" s="12"/>
      <c r="T42" s="13"/>
    </row>
    <row r="43" spans="2:20" x14ac:dyDescent="0.25">
      <c r="B43" s="5"/>
      <c r="C43" s="8"/>
      <c r="E43" s="12"/>
      <c r="T43" s="13"/>
    </row>
    <row r="44" spans="2:20" x14ac:dyDescent="0.25">
      <c r="B44" s="5"/>
      <c r="C44" s="8"/>
      <c r="E44" s="14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15"/>
    </row>
    <row r="45" spans="2:20" x14ac:dyDescent="0.25">
      <c r="B45" s="5"/>
      <c r="C45" s="8"/>
    </row>
    <row r="46" spans="2:20" x14ac:dyDescent="0.25">
      <c r="B46" s="5"/>
      <c r="C46" s="8"/>
    </row>
    <row r="47" spans="2:20" x14ac:dyDescent="0.25">
      <c r="B47" s="5"/>
      <c r="C47" s="8"/>
    </row>
    <row r="48" spans="2:20" x14ac:dyDescent="0.25">
      <c r="B48" s="5"/>
      <c r="C48" s="8"/>
    </row>
    <row r="49" spans="2:3" x14ac:dyDescent="0.25">
      <c r="B49" s="5"/>
      <c r="C49" s="8"/>
    </row>
    <row r="50" spans="2:3" x14ac:dyDescent="0.25">
      <c r="B50" s="5"/>
      <c r="C50" s="8"/>
    </row>
    <row r="51" spans="2:3" x14ac:dyDescent="0.25">
      <c r="B51" s="5"/>
      <c r="C51" s="8"/>
    </row>
    <row r="52" spans="2:3" x14ac:dyDescent="0.25">
      <c r="B52" s="5"/>
      <c r="C52" s="8"/>
    </row>
    <row r="53" spans="2:3" x14ac:dyDescent="0.25">
      <c r="B53" s="5"/>
      <c r="C53" s="8"/>
    </row>
    <row r="54" spans="2:3" x14ac:dyDescent="0.25">
      <c r="B54" s="5"/>
      <c r="C54" s="8"/>
    </row>
    <row r="55" spans="2:3" x14ac:dyDescent="0.25">
      <c r="B55" s="5"/>
      <c r="C55" s="8"/>
    </row>
    <row r="56" spans="2:3" x14ac:dyDescent="0.25">
      <c r="B56" s="5"/>
      <c r="C56" s="8"/>
    </row>
    <row r="57" spans="2:3" x14ac:dyDescent="0.25">
      <c r="B57" s="5"/>
      <c r="C57" s="8"/>
    </row>
    <row r="58" spans="2:3" x14ac:dyDescent="0.25">
      <c r="B58" s="5"/>
      <c r="C58" s="8"/>
    </row>
    <row r="59" spans="2:3" x14ac:dyDescent="0.25">
      <c r="B59" s="5"/>
      <c r="C59" s="8"/>
    </row>
    <row r="60" spans="2:3" x14ac:dyDescent="0.25">
      <c r="B60" s="5"/>
      <c r="C60" s="8"/>
    </row>
    <row r="61" spans="2:3" x14ac:dyDescent="0.25">
      <c r="B61" s="5"/>
      <c r="C61" s="8"/>
    </row>
    <row r="62" spans="2:3" x14ac:dyDescent="0.25">
      <c r="B62" s="5"/>
      <c r="C62" s="8"/>
    </row>
    <row r="63" spans="2:3" x14ac:dyDescent="0.25">
      <c r="B63" s="5"/>
      <c r="C63" s="8"/>
    </row>
    <row r="64" spans="2:3" x14ac:dyDescent="0.25">
      <c r="B64" s="5"/>
      <c r="C64" s="8"/>
    </row>
    <row r="65" spans="2:3" x14ac:dyDescent="0.25">
      <c r="B65" s="5"/>
      <c r="C65" s="8"/>
    </row>
    <row r="66" spans="2:3" x14ac:dyDescent="0.25">
      <c r="B66" s="5"/>
      <c r="C66" s="8"/>
    </row>
    <row r="67" spans="2:3" x14ac:dyDescent="0.25">
      <c r="B67" s="5"/>
      <c r="C67" s="8"/>
    </row>
    <row r="68" spans="2:3" x14ac:dyDescent="0.25">
      <c r="B68" s="5"/>
      <c r="C68" s="8"/>
    </row>
    <row r="69" spans="2:3" x14ac:dyDescent="0.25">
      <c r="B69" s="5"/>
      <c r="C69" s="8"/>
    </row>
    <row r="70" spans="2:3" x14ac:dyDescent="0.25">
      <c r="B70" s="5"/>
      <c r="C70" s="8"/>
    </row>
    <row r="71" spans="2:3" x14ac:dyDescent="0.25">
      <c r="B71" s="5"/>
      <c r="C71" s="8"/>
    </row>
    <row r="72" spans="2:3" x14ac:dyDescent="0.25">
      <c r="B72" s="5"/>
      <c r="C72" s="8"/>
    </row>
    <row r="73" spans="2:3" x14ac:dyDescent="0.25">
      <c r="B73" s="5"/>
      <c r="C73" s="8"/>
    </row>
    <row r="74" spans="2:3" x14ac:dyDescent="0.25">
      <c r="B74" s="5"/>
      <c r="C74" s="8"/>
    </row>
    <row r="75" spans="2:3" x14ac:dyDescent="0.25">
      <c r="B75" s="5"/>
      <c r="C75" s="8"/>
    </row>
    <row r="76" spans="2:3" x14ac:dyDescent="0.25">
      <c r="B76" s="5"/>
      <c r="C76" s="8"/>
    </row>
    <row r="77" spans="2:3" x14ac:dyDescent="0.25">
      <c r="B77" s="5"/>
      <c r="C77" s="8"/>
    </row>
    <row r="78" spans="2:3" x14ac:dyDescent="0.25">
      <c r="B78" s="5"/>
      <c r="C78" s="8"/>
    </row>
    <row r="79" spans="2:3" x14ac:dyDescent="0.25">
      <c r="B79" s="5"/>
      <c r="C79" s="8"/>
    </row>
    <row r="80" spans="2:3" x14ac:dyDescent="0.25">
      <c r="B80" s="5"/>
      <c r="C80" s="8"/>
    </row>
    <row r="81" spans="2:3" x14ac:dyDescent="0.25">
      <c r="B81" s="5"/>
      <c r="C81" s="8"/>
    </row>
    <row r="82" spans="2:3" x14ac:dyDescent="0.25">
      <c r="B82" s="5"/>
      <c r="C82" s="8"/>
    </row>
    <row r="83" spans="2:3" x14ac:dyDescent="0.25">
      <c r="B83" s="5"/>
      <c r="C83" s="8"/>
    </row>
    <row r="84" spans="2:3" x14ac:dyDescent="0.25">
      <c r="B84" s="5"/>
      <c r="C84" s="8"/>
    </row>
    <row r="85" spans="2:3" x14ac:dyDescent="0.25">
      <c r="B85" s="5"/>
      <c r="C85" s="8"/>
    </row>
    <row r="86" spans="2:3" x14ac:dyDescent="0.25">
      <c r="B86" s="5"/>
      <c r="C86" s="8"/>
    </row>
    <row r="87" spans="2:3" x14ac:dyDescent="0.25">
      <c r="B87" s="5"/>
      <c r="C87" s="8"/>
    </row>
    <row r="88" spans="2:3" x14ac:dyDescent="0.25">
      <c r="B88" s="5"/>
      <c r="C88" s="8"/>
    </row>
    <row r="89" spans="2:3" x14ac:dyDescent="0.25">
      <c r="B89" s="5"/>
      <c r="C89" s="8"/>
    </row>
    <row r="90" spans="2:3" x14ac:dyDescent="0.25">
      <c r="B90" s="5"/>
      <c r="C90" s="8"/>
    </row>
    <row r="91" spans="2:3" x14ac:dyDescent="0.25">
      <c r="B91" s="5"/>
      <c r="C91" s="8"/>
    </row>
    <row r="92" spans="2:3" x14ac:dyDescent="0.25">
      <c r="B92" s="5"/>
      <c r="C92" s="8"/>
    </row>
    <row r="93" spans="2:3" x14ac:dyDescent="0.25">
      <c r="B93" s="5"/>
      <c r="C93" s="8"/>
    </row>
    <row r="94" spans="2:3" x14ac:dyDescent="0.25">
      <c r="B94" s="5"/>
      <c r="C94" s="8"/>
    </row>
    <row r="95" spans="2:3" x14ac:dyDescent="0.25">
      <c r="B95" s="5"/>
      <c r="C95" s="8"/>
    </row>
    <row r="96" spans="2:3" x14ac:dyDescent="0.25">
      <c r="B96" s="5"/>
      <c r="C96" s="8"/>
    </row>
    <row r="97" spans="2:3" x14ac:dyDescent="0.25">
      <c r="B97" s="5"/>
      <c r="C97" s="8"/>
    </row>
    <row r="98" spans="2:3" x14ac:dyDescent="0.25">
      <c r="B98" s="5"/>
      <c r="C98" s="8"/>
    </row>
    <row r="99" spans="2:3" x14ac:dyDescent="0.25">
      <c r="B99" s="5"/>
      <c r="C99" s="8"/>
    </row>
    <row r="100" spans="2:3" x14ac:dyDescent="0.25">
      <c r="B100" s="5"/>
      <c r="C100" s="8"/>
    </row>
    <row r="101" spans="2:3" x14ac:dyDescent="0.25">
      <c r="B101" s="5"/>
      <c r="C101" s="8"/>
    </row>
    <row r="102" spans="2:3" x14ac:dyDescent="0.25">
      <c r="B102" s="5"/>
      <c r="C102" s="8"/>
    </row>
    <row r="103" spans="2:3" x14ac:dyDescent="0.25">
      <c r="B103" s="5"/>
      <c r="C103" s="8"/>
    </row>
  </sheetData>
  <mergeCells count="5">
    <mergeCell ref="B4:C4"/>
    <mergeCell ref="E4:H4"/>
    <mergeCell ref="O4:W4"/>
    <mergeCell ref="J4:M4"/>
    <mergeCell ref="E23:I24"/>
  </mergeCells>
  <pageMargins left="0.7" right="0.7" top="0.75" bottom="0.75" header="0.3" footer="0.3"/>
  <pageSetup orientation="portrait" r:id="rId1"/>
  <headerFooter>
    <oddFooter>&amp;L_x000D_&amp;1#&amp;"Calibri"&amp;10&amp;K000000 Fidelity Internal Information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Z103"/>
  <sheetViews>
    <sheetView showGridLines="0" showRowColHeaders="0" workbookViewId="0"/>
  </sheetViews>
  <sheetFormatPr defaultColWidth="9.140625" defaultRowHeight="15" x14ac:dyDescent="0.25"/>
  <cols>
    <col min="1" max="1" width="1.7109375" style="1" customWidth="1"/>
    <col min="2" max="2" width="9.140625" style="2"/>
    <col min="3" max="3" width="9.140625" style="6"/>
    <col min="4" max="4" width="1.7109375" style="1" customWidth="1"/>
    <col min="5" max="7" width="8.7109375" style="1" customWidth="1"/>
    <col min="8" max="8" width="1.7109375" style="1" customWidth="1"/>
    <col min="9" max="9" width="14.28515625" style="1" bestFit="1" customWidth="1"/>
    <col min="10" max="10" width="4.85546875" style="1" hidden="1" customWidth="1"/>
    <col min="11" max="15" width="8.7109375" style="1" customWidth="1"/>
    <col min="16" max="16" width="8.7109375" style="1" hidden="1" customWidth="1"/>
    <col min="17" max="17" width="8.7109375" style="1" customWidth="1"/>
    <col min="18" max="18" width="14.7109375" style="1" customWidth="1"/>
    <col min="19" max="19" width="14.7109375" style="1" hidden="1" customWidth="1"/>
    <col min="20" max="24" width="8.7109375" style="1" customWidth="1"/>
    <col min="25" max="25" width="8.7109375" style="1" hidden="1" customWidth="1"/>
    <col min="26" max="26" width="8.7109375" style="1" customWidth="1"/>
    <col min="27" max="27" width="1.7109375" style="1" customWidth="1"/>
    <col min="28" max="29" width="9.140625" style="1"/>
    <col min="30" max="30" width="10.7109375" style="1" bestFit="1" customWidth="1"/>
    <col min="31" max="16384" width="9.140625" style="1"/>
  </cols>
  <sheetData>
    <row r="1" spans="2:21" ht="12" customHeight="1" x14ac:dyDescent="0.25"/>
    <row r="2" spans="2:21" ht="26.25" x14ac:dyDescent="0.4">
      <c r="B2" s="3" t="s">
        <v>46</v>
      </c>
    </row>
    <row r="3" spans="2:21" ht="12" customHeight="1" x14ac:dyDescent="0.25"/>
    <row r="4" spans="2:21" x14ac:dyDescent="0.25">
      <c r="B4" s="57" t="s">
        <v>2</v>
      </c>
      <c r="C4" s="57"/>
      <c r="E4" s="58" t="s">
        <v>60</v>
      </c>
      <c r="F4" s="58"/>
      <c r="G4" s="58"/>
      <c r="I4" s="58" t="s">
        <v>18</v>
      </c>
      <c r="J4" s="58"/>
      <c r="K4" s="58"/>
      <c r="L4" s="58"/>
      <c r="M4" s="58"/>
      <c r="N4" s="58"/>
      <c r="O4" s="58"/>
      <c r="P4" s="58"/>
      <c r="Q4" s="58"/>
    </row>
    <row r="5" spans="2:21" x14ac:dyDescent="0.25">
      <c r="B5" s="4" t="s">
        <v>0</v>
      </c>
      <c r="C5" s="7" t="s">
        <v>1</v>
      </c>
      <c r="E5" s="18" t="s">
        <v>0</v>
      </c>
      <c r="F5" s="18" t="s">
        <v>61</v>
      </c>
      <c r="G5" s="18" t="s">
        <v>62</v>
      </c>
      <c r="I5" s="18" t="s">
        <v>17</v>
      </c>
      <c r="J5" s="18" t="s">
        <v>21</v>
      </c>
      <c r="K5" s="18" t="s">
        <v>7</v>
      </c>
      <c r="L5" s="18" t="s">
        <v>8</v>
      </c>
      <c r="M5" s="18" t="s">
        <v>9</v>
      </c>
      <c r="N5" s="18" t="s">
        <v>10</v>
      </c>
      <c r="O5" s="18" t="s">
        <v>11</v>
      </c>
      <c r="P5" s="18" t="s">
        <v>22</v>
      </c>
      <c r="Q5" s="18" t="s">
        <v>13</v>
      </c>
    </row>
    <row r="6" spans="2:21" x14ac:dyDescent="0.25">
      <c r="B6" s="5"/>
      <c r="C6" s="8"/>
      <c r="E6" s="10">
        <v>20</v>
      </c>
      <c r="F6" s="10"/>
      <c r="G6" s="10"/>
      <c r="I6" s="10" t="s">
        <v>16</v>
      </c>
      <c r="J6" s="10"/>
      <c r="K6" s="16"/>
      <c r="L6" s="16"/>
      <c r="M6" s="16"/>
      <c r="N6" s="16"/>
      <c r="O6" s="16"/>
      <c r="P6" s="16"/>
      <c r="Q6" s="16"/>
      <c r="U6" s="34"/>
    </row>
    <row r="7" spans="2:21" x14ac:dyDescent="0.25">
      <c r="B7" s="5"/>
      <c r="C7" s="8"/>
      <c r="E7" s="10"/>
      <c r="F7" s="10"/>
      <c r="G7" s="10"/>
      <c r="I7" s="10" t="s">
        <v>63</v>
      </c>
      <c r="J7" s="10"/>
      <c r="K7" s="16"/>
      <c r="L7" s="16"/>
      <c r="M7" s="16"/>
      <c r="N7" s="16"/>
      <c r="O7" s="16"/>
      <c r="P7" s="16"/>
      <c r="Q7" s="16"/>
      <c r="U7" s="34"/>
    </row>
    <row r="8" spans="2:21" x14ac:dyDescent="0.25">
      <c r="B8" s="5"/>
      <c r="C8" s="8"/>
      <c r="E8" s="10"/>
      <c r="F8" s="10"/>
      <c r="G8" s="10"/>
      <c r="I8" s="10" t="s">
        <v>64</v>
      </c>
      <c r="J8" s="10"/>
      <c r="K8" s="16"/>
      <c r="L8" s="16"/>
      <c r="M8" s="16"/>
      <c r="N8" s="16"/>
      <c r="O8" s="16"/>
      <c r="P8" s="16"/>
      <c r="Q8" s="16"/>
    </row>
    <row r="9" spans="2:21" x14ac:dyDescent="0.25">
      <c r="B9" s="5"/>
      <c r="C9" s="8"/>
      <c r="E9" s="10"/>
      <c r="F9" s="10"/>
      <c r="G9" s="10"/>
      <c r="I9" s="10" t="s">
        <v>65</v>
      </c>
      <c r="J9" s="10"/>
      <c r="K9" s="16"/>
      <c r="L9" s="16"/>
      <c r="M9" s="16"/>
      <c r="N9" s="16"/>
      <c r="O9" s="16"/>
      <c r="P9" s="16"/>
      <c r="Q9" s="16"/>
    </row>
    <row r="10" spans="2:21" x14ac:dyDescent="0.25">
      <c r="B10" s="5"/>
      <c r="C10" s="8"/>
      <c r="E10" s="10"/>
      <c r="F10" s="10"/>
      <c r="G10" s="10"/>
    </row>
    <row r="11" spans="2:21" x14ac:dyDescent="0.25">
      <c r="B11" s="5"/>
      <c r="C11" s="8"/>
      <c r="E11" s="10"/>
      <c r="F11" s="10"/>
      <c r="G11" s="10"/>
    </row>
    <row r="12" spans="2:21" x14ac:dyDescent="0.25">
      <c r="B12" s="5"/>
      <c r="C12" s="8"/>
      <c r="E12" s="10"/>
      <c r="F12" s="10"/>
      <c r="G12" s="10"/>
    </row>
    <row r="13" spans="2:21" x14ac:dyDescent="0.25">
      <c r="B13" s="5"/>
      <c r="C13" s="8"/>
      <c r="E13" s="10"/>
      <c r="F13" s="10"/>
      <c r="G13" s="10"/>
    </row>
    <row r="14" spans="2:21" x14ac:dyDescent="0.25">
      <c r="B14" s="5"/>
      <c r="C14" s="8"/>
      <c r="E14" s="10"/>
      <c r="F14" s="10"/>
      <c r="G14" s="10"/>
    </row>
    <row r="15" spans="2:21" x14ac:dyDescent="0.25">
      <c r="B15" s="5"/>
      <c r="C15" s="8"/>
      <c r="E15" s="10"/>
      <c r="F15" s="10"/>
      <c r="G15" s="10"/>
    </row>
    <row r="16" spans="2:21" x14ac:dyDescent="0.25">
      <c r="B16" s="5"/>
      <c r="C16" s="8"/>
      <c r="E16" s="10"/>
      <c r="F16" s="10"/>
      <c r="G16" s="10"/>
    </row>
    <row r="17" spans="2:26" x14ac:dyDescent="0.25">
      <c r="B17" s="5"/>
      <c r="C17" s="8"/>
      <c r="E17" s="10"/>
      <c r="F17" s="10"/>
      <c r="G17" s="10"/>
    </row>
    <row r="18" spans="2:26" x14ac:dyDescent="0.25">
      <c r="B18" s="5"/>
      <c r="C18" s="8"/>
      <c r="E18" s="10"/>
      <c r="F18" s="10"/>
      <c r="G18" s="10"/>
    </row>
    <row r="19" spans="2:26" x14ac:dyDescent="0.25">
      <c r="B19" s="5"/>
      <c r="C19" s="8"/>
      <c r="E19" s="10"/>
      <c r="F19" s="10"/>
      <c r="G19" s="10"/>
    </row>
    <row r="20" spans="2:26" x14ac:dyDescent="0.25">
      <c r="B20" s="5"/>
      <c r="C20" s="8"/>
      <c r="E20" s="10"/>
      <c r="F20" s="10"/>
      <c r="G20" s="10"/>
    </row>
    <row r="21" spans="2:26" x14ac:dyDescent="0.25">
      <c r="B21" s="5"/>
      <c r="C21" s="8"/>
      <c r="E21" s="10"/>
      <c r="F21" s="10"/>
      <c r="G21" s="10"/>
    </row>
    <row r="22" spans="2:26" x14ac:dyDescent="0.25">
      <c r="B22" s="5"/>
      <c r="C22" s="8"/>
      <c r="E22" s="10"/>
      <c r="F22" s="10"/>
      <c r="G22" s="10"/>
    </row>
    <row r="23" spans="2:26" x14ac:dyDescent="0.25">
      <c r="B23" s="5"/>
      <c r="C23" s="8"/>
      <c r="E23" s="10"/>
      <c r="F23" s="10"/>
      <c r="G23" s="10"/>
      <c r="I23" s="51" t="s">
        <v>12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/>
    </row>
    <row r="24" spans="2:26" x14ac:dyDescent="0.25">
      <c r="B24" s="5"/>
      <c r="C24" s="8"/>
      <c r="E24" s="10"/>
      <c r="F24" s="10"/>
      <c r="G24" s="10"/>
      <c r="I24" s="54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6"/>
    </row>
    <row r="25" spans="2:26" x14ac:dyDescent="0.25">
      <c r="B25" s="5"/>
      <c r="C25" s="8"/>
      <c r="E25" s="10"/>
      <c r="F25" s="10"/>
      <c r="G25" s="10"/>
      <c r="I25" s="12"/>
      <c r="Z25" s="13"/>
    </row>
    <row r="26" spans="2:26" x14ac:dyDescent="0.25">
      <c r="B26" s="5"/>
      <c r="C26" s="8"/>
      <c r="E26" s="10"/>
      <c r="F26" s="10"/>
      <c r="G26" s="10"/>
      <c r="I26" s="12"/>
      <c r="Z26" s="13"/>
    </row>
    <row r="27" spans="2:26" x14ac:dyDescent="0.25">
      <c r="B27" s="5"/>
      <c r="C27" s="8"/>
      <c r="E27" s="10"/>
      <c r="F27" s="10"/>
      <c r="G27" s="10"/>
      <c r="I27" s="12"/>
      <c r="Z27" s="13"/>
    </row>
    <row r="28" spans="2:26" x14ac:dyDescent="0.25">
      <c r="B28" s="5"/>
      <c r="C28" s="8"/>
      <c r="E28" s="10"/>
      <c r="F28" s="10"/>
      <c r="G28" s="10"/>
      <c r="I28" s="12"/>
      <c r="Z28" s="13"/>
    </row>
    <row r="29" spans="2:26" x14ac:dyDescent="0.25">
      <c r="B29" s="5"/>
      <c r="C29" s="8"/>
      <c r="E29" s="10"/>
      <c r="F29" s="10"/>
      <c r="G29" s="10"/>
      <c r="I29" s="12"/>
      <c r="Z29" s="13"/>
    </row>
    <row r="30" spans="2:26" x14ac:dyDescent="0.25">
      <c r="B30" s="5"/>
      <c r="C30" s="8"/>
      <c r="E30" s="10"/>
      <c r="F30" s="10"/>
      <c r="G30" s="10"/>
      <c r="I30" s="12"/>
      <c r="Z30" s="13"/>
    </row>
    <row r="31" spans="2:26" x14ac:dyDescent="0.25">
      <c r="B31" s="5"/>
      <c r="C31" s="8"/>
      <c r="E31" s="10"/>
      <c r="F31" s="10"/>
      <c r="G31" s="10"/>
      <c r="I31" s="12"/>
      <c r="Z31" s="13"/>
    </row>
    <row r="32" spans="2:26" x14ac:dyDescent="0.25">
      <c r="B32" s="5"/>
      <c r="C32" s="8"/>
      <c r="E32" s="10"/>
      <c r="F32" s="10"/>
      <c r="G32" s="10"/>
      <c r="I32" s="12"/>
      <c r="Z32" s="13"/>
    </row>
    <row r="33" spans="2:26" x14ac:dyDescent="0.25">
      <c r="B33" s="5"/>
      <c r="C33" s="8"/>
      <c r="E33" s="10"/>
      <c r="F33" s="10"/>
      <c r="G33" s="10"/>
      <c r="I33" s="12"/>
      <c r="Z33" s="13"/>
    </row>
    <row r="34" spans="2:26" x14ac:dyDescent="0.25">
      <c r="B34" s="5"/>
      <c r="C34" s="8"/>
      <c r="E34" s="10"/>
      <c r="F34" s="10"/>
      <c r="G34" s="10"/>
      <c r="I34" s="12"/>
      <c r="Z34" s="13"/>
    </row>
    <row r="35" spans="2:26" x14ac:dyDescent="0.25">
      <c r="B35" s="5"/>
      <c r="C35" s="8"/>
      <c r="E35" s="10"/>
      <c r="F35" s="10"/>
      <c r="G35" s="10"/>
      <c r="I35" s="12"/>
      <c r="Z35" s="13"/>
    </row>
    <row r="36" spans="2:26" x14ac:dyDescent="0.25">
      <c r="B36" s="5"/>
      <c r="C36" s="8"/>
      <c r="E36" s="10"/>
      <c r="F36" s="10"/>
      <c r="G36" s="10"/>
      <c r="I36" s="12"/>
      <c r="Z36" s="13"/>
    </row>
    <row r="37" spans="2:26" x14ac:dyDescent="0.25">
      <c r="B37" s="5"/>
      <c r="C37" s="8"/>
      <c r="E37" s="10"/>
      <c r="F37" s="10"/>
      <c r="G37" s="10"/>
      <c r="I37" s="12"/>
      <c r="Z37" s="13"/>
    </row>
    <row r="38" spans="2:26" x14ac:dyDescent="0.25">
      <c r="B38" s="5"/>
      <c r="C38" s="8"/>
      <c r="E38" s="10"/>
      <c r="F38" s="10"/>
      <c r="G38" s="10"/>
      <c r="I38" s="12"/>
      <c r="Z38" s="13"/>
    </row>
    <row r="39" spans="2:26" x14ac:dyDescent="0.25">
      <c r="B39" s="5"/>
      <c r="C39" s="8"/>
      <c r="E39" s="10"/>
      <c r="F39" s="10"/>
      <c r="G39" s="10"/>
      <c r="I39" s="12"/>
      <c r="Z39" s="13"/>
    </row>
    <row r="40" spans="2:26" x14ac:dyDescent="0.25">
      <c r="B40" s="5"/>
      <c r="C40" s="8"/>
      <c r="E40" s="10"/>
      <c r="F40" s="10"/>
      <c r="G40" s="10"/>
      <c r="I40" s="12"/>
      <c r="Z40" s="13"/>
    </row>
    <row r="41" spans="2:26" x14ac:dyDescent="0.25">
      <c r="B41" s="5"/>
      <c r="C41" s="8"/>
      <c r="E41" s="10"/>
      <c r="F41" s="10"/>
      <c r="G41" s="10"/>
      <c r="I41" s="12"/>
      <c r="Z41" s="13"/>
    </row>
    <row r="42" spans="2:26" x14ac:dyDescent="0.25">
      <c r="B42" s="5"/>
      <c r="C42" s="8"/>
      <c r="E42" s="10"/>
      <c r="F42" s="10"/>
      <c r="G42" s="10"/>
      <c r="I42" s="12"/>
      <c r="Z42" s="13"/>
    </row>
    <row r="43" spans="2:26" x14ac:dyDescent="0.25">
      <c r="B43" s="5"/>
      <c r="C43" s="8"/>
      <c r="E43" s="10"/>
      <c r="F43" s="10"/>
      <c r="G43" s="10"/>
      <c r="I43" s="12"/>
      <c r="Z43" s="13"/>
    </row>
    <row r="44" spans="2:26" x14ac:dyDescent="0.25">
      <c r="B44" s="5"/>
      <c r="C44" s="8"/>
      <c r="E44" s="10"/>
      <c r="F44" s="10"/>
      <c r="G44" s="10"/>
      <c r="I44" s="14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15"/>
    </row>
    <row r="45" spans="2:26" x14ac:dyDescent="0.25">
      <c r="B45" s="5"/>
      <c r="C45" s="8"/>
      <c r="E45" s="10"/>
      <c r="F45" s="10"/>
      <c r="G45" s="10"/>
    </row>
    <row r="46" spans="2:26" x14ac:dyDescent="0.25">
      <c r="B46" s="5"/>
      <c r="C46" s="8"/>
      <c r="E46" s="10"/>
      <c r="F46" s="10"/>
      <c r="G46" s="10"/>
    </row>
    <row r="47" spans="2:26" x14ac:dyDescent="0.25">
      <c r="B47" s="5"/>
      <c r="C47" s="8"/>
      <c r="E47" s="10"/>
      <c r="F47" s="10"/>
      <c r="G47" s="10"/>
    </row>
    <row r="48" spans="2:26" x14ac:dyDescent="0.25">
      <c r="B48" s="5"/>
      <c r="C48" s="8"/>
      <c r="E48" s="10"/>
      <c r="F48" s="10"/>
      <c r="G48" s="10"/>
    </row>
    <row r="49" spans="2:7" x14ac:dyDescent="0.25">
      <c r="B49" s="5"/>
      <c r="C49" s="8"/>
      <c r="E49" s="10"/>
      <c r="F49" s="10"/>
      <c r="G49" s="10"/>
    </row>
    <row r="50" spans="2:7" x14ac:dyDescent="0.25">
      <c r="B50" s="5"/>
      <c r="C50" s="8"/>
      <c r="E50" s="10"/>
      <c r="F50" s="10"/>
      <c r="G50" s="10"/>
    </row>
    <row r="51" spans="2:7" x14ac:dyDescent="0.25">
      <c r="B51" s="5"/>
      <c r="C51" s="8"/>
      <c r="E51" s="10"/>
      <c r="F51" s="10"/>
      <c r="G51" s="10"/>
    </row>
    <row r="52" spans="2:7" x14ac:dyDescent="0.25">
      <c r="B52" s="5"/>
      <c r="C52" s="8"/>
      <c r="E52" s="10"/>
      <c r="F52" s="10"/>
      <c r="G52" s="10"/>
    </row>
    <row r="53" spans="2:7" x14ac:dyDescent="0.25">
      <c r="B53" s="5"/>
      <c r="C53" s="8"/>
      <c r="E53" s="10"/>
      <c r="F53" s="10"/>
      <c r="G53" s="10"/>
    </row>
    <row r="54" spans="2:7" x14ac:dyDescent="0.25">
      <c r="B54" s="5"/>
      <c r="C54" s="8"/>
      <c r="E54" s="10"/>
      <c r="F54" s="10"/>
      <c r="G54" s="10"/>
    </row>
    <row r="55" spans="2:7" x14ac:dyDescent="0.25">
      <c r="B55" s="5"/>
      <c r="C55" s="8"/>
      <c r="E55" s="10"/>
      <c r="F55" s="10"/>
      <c r="G55" s="10"/>
    </row>
    <row r="56" spans="2:7" x14ac:dyDescent="0.25">
      <c r="B56" s="5"/>
      <c r="C56" s="8"/>
      <c r="E56" s="10"/>
      <c r="F56" s="10"/>
      <c r="G56" s="10"/>
    </row>
    <row r="57" spans="2:7" x14ac:dyDescent="0.25">
      <c r="B57" s="5"/>
      <c r="C57" s="8"/>
      <c r="E57" s="10"/>
      <c r="F57" s="10"/>
      <c r="G57" s="10"/>
    </row>
    <row r="58" spans="2:7" x14ac:dyDescent="0.25">
      <c r="B58" s="5"/>
      <c r="C58" s="8"/>
      <c r="E58" s="10"/>
      <c r="F58" s="10"/>
      <c r="G58" s="10"/>
    </row>
    <row r="59" spans="2:7" x14ac:dyDescent="0.25">
      <c r="B59" s="5"/>
      <c r="C59" s="8"/>
      <c r="E59" s="10"/>
      <c r="F59" s="10"/>
      <c r="G59" s="10"/>
    </row>
    <row r="60" spans="2:7" x14ac:dyDescent="0.25">
      <c r="B60" s="5"/>
      <c r="C60" s="8"/>
      <c r="E60" s="10"/>
      <c r="F60" s="10"/>
      <c r="G60" s="10"/>
    </row>
    <row r="61" spans="2:7" x14ac:dyDescent="0.25">
      <c r="B61" s="5"/>
      <c r="C61" s="8"/>
      <c r="E61" s="10"/>
      <c r="F61" s="10"/>
      <c r="G61" s="10"/>
    </row>
    <row r="62" spans="2:7" x14ac:dyDescent="0.25">
      <c r="B62" s="5"/>
      <c r="C62" s="8"/>
      <c r="E62" s="10"/>
      <c r="F62" s="10"/>
      <c r="G62" s="10"/>
    </row>
    <row r="63" spans="2:7" x14ac:dyDescent="0.25">
      <c r="B63" s="5"/>
      <c r="C63" s="8"/>
      <c r="E63" s="10"/>
      <c r="F63" s="10"/>
      <c r="G63" s="10"/>
    </row>
    <row r="64" spans="2:7" x14ac:dyDescent="0.25">
      <c r="B64" s="5"/>
      <c r="C64" s="8"/>
      <c r="E64" s="10"/>
      <c r="F64" s="10"/>
      <c r="G64" s="10"/>
    </row>
    <row r="65" spans="2:7" x14ac:dyDescent="0.25">
      <c r="B65" s="5"/>
      <c r="C65" s="8"/>
      <c r="E65" s="10"/>
      <c r="F65" s="10"/>
      <c r="G65" s="10"/>
    </row>
    <row r="66" spans="2:7" x14ac:dyDescent="0.25">
      <c r="B66" s="5"/>
      <c r="C66" s="8"/>
      <c r="E66" s="10"/>
      <c r="F66" s="10"/>
      <c r="G66" s="10"/>
    </row>
    <row r="67" spans="2:7" x14ac:dyDescent="0.25">
      <c r="B67" s="5"/>
      <c r="C67" s="8"/>
    </row>
    <row r="68" spans="2:7" x14ac:dyDescent="0.25">
      <c r="B68" s="5"/>
      <c r="C68" s="8"/>
    </row>
    <row r="69" spans="2:7" x14ac:dyDescent="0.25">
      <c r="B69" s="5"/>
      <c r="C69" s="8"/>
    </row>
    <row r="70" spans="2:7" x14ac:dyDescent="0.25">
      <c r="B70" s="5"/>
      <c r="C70" s="8"/>
    </row>
    <row r="71" spans="2:7" x14ac:dyDescent="0.25">
      <c r="B71" s="5"/>
      <c r="C71" s="8"/>
    </row>
    <row r="72" spans="2:7" x14ac:dyDescent="0.25">
      <c r="B72" s="5"/>
      <c r="C72" s="8"/>
    </row>
    <row r="73" spans="2:7" x14ac:dyDescent="0.25">
      <c r="B73" s="5"/>
      <c r="C73" s="8"/>
    </row>
    <row r="74" spans="2:7" x14ac:dyDescent="0.25">
      <c r="B74" s="5"/>
      <c r="C74" s="8"/>
    </row>
    <row r="75" spans="2:7" x14ac:dyDescent="0.25">
      <c r="B75" s="5"/>
      <c r="C75" s="8"/>
    </row>
    <row r="76" spans="2:7" x14ac:dyDescent="0.25">
      <c r="B76" s="5"/>
      <c r="C76" s="8"/>
    </row>
    <row r="77" spans="2:7" x14ac:dyDescent="0.25">
      <c r="B77" s="5"/>
      <c r="C77" s="8"/>
    </row>
    <row r="78" spans="2:7" x14ac:dyDescent="0.25">
      <c r="B78" s="5"/>
      <c r="C78" s="8"/>
    </row>
    <row r="79" spans="2:7" x14ac:dyDescent="0.25">
      <c r="B79" s="5"/>
      <c r="C79" s="8"/>
    </row>
    <row r="80" spans="2:7" x14ac:dyDescent="0.25">
      <c r="B80" s="5"/>
      <c r="C80" s="8"/>
    </row>
    <row r="81" spans="2:3" x14ac:dyDescent="0.25">
      <c r="B81" s="5"/>
      <c r="C81" s="8"/>
    </row>
    <row r="82" spans="2:3" x14ac:dyDescent="0.25">
      <c r="B82" s="5"/>
      <c r="C82" s="8"/>
    </row>
    <row r="83" spans="2:3" x14ac:dyDescent="0.25">
      <c r="B83" s="5"/>
      <c r="C83" s="8"/>
    </row>
    <row r="84" spans="2:3" x14ac:dyDescent="0.25">
      <c r="B84" s="5"/>
      <c r="C84" s="8"/>
    </row>
    <row r="85" spans="2:3" x14ac:dyDescent="0.25">
      <c r="B85" s="5"/>
      <c r="C85" s="8"/>
    </row>
    <row r="86" spans="2:3" x14ac:dyDescent="0.25">
      <c r="B86" s="5"/>
      <c r="C86" s="8"/>
    </row>
    <row r="87" spans="2:3" x14ac:dyDescent="0.25">
      <c r="B87" s="5"/>
      <c r="C87" s="8"/>
    </row>
    <row r="88" spans="2:3" x14ac:dyDescent="0.25">
      <c r="B88" s="5"/>
      <c r="C88" s="8"/>
    </row>
    <row r="89" spans="2:3" x14ac:dyDescent="0.25">
      <c r="B89" s="5"/>
      <c r="C89" s="8"/>
    </row>
    <row r="90" spans="2:3" x14ac:dyDescent="0.25">
      <c r="B90" s="5"/>
      <c r="C90" s="8"/>
    </row>
    <row r="91" spans="2:3" x14ac:dyDescent="0.25">
      <c r="B91" s="5"/>
      <c r="C91" s="8"/>
    </row>
    <row r="92" spans="2:3" x14ac:dyDescent="0.25">
      <c r="B92" s="5"/>
      <c r="C92" s="8"/>
    </row>
    <row r="93" spans="2:3" x14ac:dyDescent="0.25">
      <c r="B93" s="5"/>
      <c r="C93" s="8"/>
    </row>
    <row r="94" spans="2:3" x14ac:dyDescent="0.25">
      <c r="B94" s="5"/>
      <c r="C94" s="8"/>
    </row>
    <row r="95" spans="2:3" x14ac:dyDescent="0.25">
      <c r="B95" s="5"/>
      <c r="C95" s="8"/>
    </row>
    <row r="96" spans="2:3" x14ac:dyDescent="0.25">
      <c r="B96" s="5"/>
      <c r="C96" s="8"/>
    </row>
    <row r="97" spans="2:3" x14ac:dyDescent="0.25">
      <c r="B97" s="5"/>
      <c r="C97" s="8"/>
    </row>
    <row r="98" spans="2:3" x14ac:dyDescent="0.25">
      <c r="B98" s="5"/>
      <c r="C98" s="8"/>
    </row>
    <row r="99" spans="2:3" x14ac:dyDescent="0.25">
      <c r="B99" s="5"/>
      <c r="C99" s="8"/>
    </row>
    <row r="100" spans="2:3" x14ac:dyDescent="0.25">
      <c r="B100" s="5"/>
      <c r="C100" s="8"/>
    </row>
    <row r="101" spans="2:3" x14ac:dyDescent="0.25">
      <c r="B101" s="5"/>
      <c r="C101" s="8"/>
    </row>
    <row r="102" spans="2:3" x14ac:dyDescent="0.25">
      <c r="B102" s="5"/>
      <c r="C102" s="8"/>
    </row>
    <row r="103" spans="2:3" x14ac:dyDescent="0.25">
      <c r="B103" s="5"/>
      <c r="C103" s="8"/>
    </row>
  </sheetData>
  <mergeCells count="4">
    <mergeCell ref="B4:C4"/>
    <mergeCell ref="I4:Q4"/>
    <mergeCell ref="I23:Z24"/>
    <mergeCell ref="E4:G4"/>
  </mergeCells>
  <pageMargins left="0.7" right="0.7" top="0.75" bottom="0.75" header="0.3" footer="0.3"/>
  <pageSetup orientation="portrait" r:id="rId1"/>
  <headerFooter>
    <oddFooter>&amp;L_x000D_&amp;1#&amp;"Calibri"&amp;10&amp;K000000 Fidelity Internal Information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Z103"/>
  <sheetViews>
    <sheetView showGridLines="0" showRowColHeaders="0" workbookViewId="0"/>
  </sheetViews>
  <sheetFormatPr defaultColWidth="9.140625" defaultRowHeight="15" x14ac:dyDescent="0.25"/>
  <cols>
    <col min="1" max="1" width="1.7109375" style="1" customWidth="1"/>
    <col min="2" max="2" width="9.140625" style="2"/>
    <col min="3" max="3" width="9.140625" style="6"/>
    <col min="4" max="4" width="1.7109375" style="1" customWidth="1"/>
    <col min="5" max="5" width="8.7109375" style="1" customWidth="1"/>
    <col min="6" max="9" width="10.7109375" style="1" customWidth="1"/>
    <col min="10" max="10" width="1.7109375" style="1" customWidth="1"/>
    <col min="11" max="11" width="30.140625" style="1" bestFit="1" customWidth="1"/>
    <col min="12" max="12" width="4.85546875" style="1" hidden="1" customWidth="1"/>
    <col min="13" max="17" width="8.7109375" style="1" customWidth="1"/>
    <col min="18" max="18" width="8.7109375" style="1" hidden="1" customWidth="1"/>
    <col min="19" max="19" width="8.7109375" style="1" customWidth="1"/>
    <col min="20" max="20" width="14.7109375" style="1" customWidth="1"/>
    <col min="21" max="21" width="14.7109375" style="1" hidden="1" customWidth="1"/>
    <col min="22" max="24" width="8.7109375" style="1" customWidth="1"/>
    <col min="25" max="25" width="8.7109375" style="1" hidden="1" customWidth="1"/>
    <col min="26" max="26" width="8.7109375" style="1" customWidth="1"/>
    <col min="27" max="27" width="1.7109375" style="1" customWidth="1"/>
    <col min="28" max="29" width="9.140625" style="1"/>
    <col min="30" max="30" width="10.7109375" style="1" bestFit="1" customWidth="1"/>
    <col min="31" max="16384" width="9.140625" style="1"/>
  </cols>
  <sheetData>
    <row r="1" spans="2:23" ht="12" customHeight="1" x14ac:dyDescent="0.25"/>
    <row r="2" spans="2:23" ht="26.25" x14ac:dyDescent="0.4">
      <c r="B2" s="3" t="s">
        <v>72</v>
      </c>
    </row>
    <row r="3" spans="2:23" ht="12" customHeight="1" x14ac:dyDescent="0.25"/>
    <row r="4" spans="2:23" x14ac:dyDescent="0.25">
      <c r="B4" s="57" t="s">
        <v>2</v>
      </c>
      <c r="C4" s="57"/>
      <c r="E4" s="59" t="s">
        <v>60</v>
      </c>
      <c r="F4" s="60"/>
      <c r="G4" s="60"/>
      <c r="H4" s="60"/>
      <c r="I4" s="61"/>
      <c r="K4" s="58" t="s">
        <v>18</v>
      </c>
      <c r="L4" s="58"/>
      <c r="M4" s="58"/>
      <c r="N4" s="58"/>
      <c r="O4" s="58"/>
      <c r="P4" s="58"/>
      <c r="Q4" s="58"/>
      <c r="R4" s="58"/>
      <c r="S4" s="58"/>
    </row>
    <row r="5" spans="2:23" x14ac:dyDescent="0.25">
      <c r="B5" s="4" t="s">
        <v>0</v>
      </c>
      <c r="C5" s="7" t="s">
        <v>1</v>
      </c>
      <c r="E5" s="18" t="s">
        <v>0</v>
      </c>
      <c r="F5" s="18" t="s">
        <v>74</v>
      </c>
      <c r="G5" s="18" t="s">
        <v>75</v>
      </c>
      <c r="H5" s="18" t="s">
        <v>73</v>
      </c>
      <c r="I5" s="18" t="s">
        <v>76</v>
      </c>
      <c r="K5" s="18" t="s">
        <v>17</v>
      </c>
      <c r="L5" s="18" t="s">
        <v>21</v>
      </c>
      <c r="M5" s="18" t="s">
        <v>7</v>
      </c>
      <c r="N5" s="18" t="s">
        <v>8</v>
      </c>
      <c r="O5" s="18" t="s">
        <v>9</v>
      </c>
      <c r="P5" s="18" t="s">
        <v>10</v>
      </c>
      <c r="Q5" s="18" t="s">
        <v>11</v>
      </c>
      <c r="R5" s="18" t="s">
        <v>22</v>
      </c>
      <c r="S5" s="18" t="s">
        <v>13</v>
      </c>
    </row>
    <row r="6" spans="2:23" x14ac:dyDescent="0.25">
      <c r="B6" s="5"/>
      <c r="C6" s="8"/>
      <c r="E6" s="10">
        <v>20</v>
      </c>
      <c r="F6" s="10"/>
      <c r="G6" s="10"/>
      <c r="H6" s="10" t="str">
        <f>IF(F6&gt;0,F6-0.15,"")</f>
        <v/>
      </c>
      <c r="I6" s="10" t="str">
        <f>IF(F6&gt;0,MIN(F6+0.35,0.99),"")</f>
        <v/>
      </c>
      <c r="K6" s="10" t="s">
        <v>66</v>
      </c>
      <c r="L6" s="10"/>
      <c r="M6" s="16"/>
      <c r="N6" s="16"/>
      <c r="O6" s="16"/>
      <c r="P6" s="16"/>
      <c r="Q6" s="16"/>
      <c r="R6" s="16"/>
      <c r="S6" s="16"/>
      <c r="W6" s="34"/>
    </row>
    <row r="7" spans="2:23" x14ac:dyDescent="0.25">
      <c r="B7" s="5"/>
      <c r="C7" s="8"/>
      <c r="E7" s="10"/>
      <c r="F7" s="10"/>
      <c r="G7" s="10"/>
      <c r="H7" s="10" t="str">
        <f t="shared" ref="H7:H56" si="0">IF(F7&gt;0,F7-0.15,"")</f>
        <v/>
      </c>
      <c r="I7" s="10" t="str">
        <f t="shared" ref="I7:I56" si="1">IF(F7&gt;0,MIN(F7+0.35,0.99),"")</f>
        <v/>
      </c>
      <c r="K7" s="10" t="s">
        <v>67</v>
      </c>
      <c r="L7" s="10"/>
      <c r="M7" s="16"/>
      <c r="N7" s="16"/>
      <c r="O7" s="16"/>
      <c r="P7" s="16"/>
      <c r="Q7" s="16"/>
      <c r="R7" s="16"/>
      <c r="S7" s="16"/>
      <c r="W7" s="34"/>
    </row>
    <row r="8" spans="2:23" x14ac:dyDescent="0.25">
      <c r="B8" s="5"/>
      <c r="C8" s="8"/>
      <c r="E8" s="10"/>
      <c r="F8" s="10"/>
      <c r="G8" s="10"/>
      <c r="H8" s="10" t="str">
        <f t="shared" si="0"/>
        <v/>
      </c>
      <c r="I8" s="10" t="str">
        <f t="shared" si="1"/>
        <v/>
      </c>
      <c r="K8" s="10" t="s">
        <v>68</v>
      </c>
      <c r="L8" s="10"/>
      <c r="M8" s="16"/>
      <c r="N8" s="16"/>
      <c r="O8" s="16"/>
      <c r="P8" s="16"/>
      <c r="Q8" s="16"/>
      <c r="R8" s="16"/>
      <c r="S8" s="16"/>
    </row>
    <row r="9" spans="2:23" x14ac:dyDescent="0.25">
      <c r="B9" s="5"/>
      <c r="C9" s="8"/>
      <c r="E9" s="10"/>
      <c r="F9" s="10"/>
      <c r="G9" s="10"/>
      <c r="H9" s="10" t="str">
        <f t="shared" si="0"/>
        <v/>
      </c>
      <c r="I9" s="10" t="str">
        <f t="shared" si="1"/>
        <v/>
      </c>
      <c r="K9" s="10" t="s">
        <v>69</v>
      </c>
      <c r="L9" s="10"/>
      <c r="M9" s="16"/>
      <c r="N9" s="16"/>
      <c r="O9" s="16"/>
      <c r="P9" s="16"/>
      <c r="Q9" s="16"/>
      <c r="R9" s="16"/>
      <c r="S9" s="16"/>
    </row>
    <row r="10" spans="2:23" x14ac:dyDescent="0.25">
      <c r="B10" s="5"/>
      <c r="C10" s="8"/>
      <c r="E10" s="10"/>
      <c r="F10" s="10"/>
      <c r="G10" s="10"/>
      <c r="H10" s="10" t="str">
        <f t="shared" si="0"/>
        <v/>
      </c>
      <c r="I10" s="10" t="str">
        <f t="shared" si="1"/>
        <v/>
      </c>
      <c r="K10" s="10" t="s">
        <v>70</v>
      </c>
      <c r="L10" s="10"/>
      <c r="M10" s="16"/>
      <c r="N10" s="16"/>
      <c r="O10" s="16"/>
      <c r="P10" s="16"/>
      <c r="Q10" s="16"/>
      <c r="R10" s="16"/>
      <c r="S10" s="16"/>
    </row>
    <row r="11" spans="2:23" x14ac:dyDescent="0.25">
      <c r="B11" s="5"/>
      <c r="C11" s="8"/>
      <c r="E11" s="10"/>
      <c r="F11" s="10"/>
      <c r="G11" s="10"/>
      <c r="H11" s="10" t="str">
        <f t="shared" si="0"/>
        <v/>
      </c>
      <c r="I11" s="10" t="str">
        <f t="shared" si="1"/>
        <v/>
      </c>
      <c r="K11" s="10" t="s">
        <v>71</v>
      </c>
      <c r="L11" s="10"/>
      <c r="M11" s="16"/>
      <c r="N11" s="16"/>
      <c r="O11" s="16"/>
      <c r="P11" s="16"/>
      <c r="Q11" s="16"/>
      <c r="R11" s="16"/>
      <c r="S11" s="16"/>
    </row>
    <row r="12" spans="2:23" x14ac:dyDescent="0.25">
      <c r="B12" s="5"/>
      <c r="C12" s="8"/>
      <c r="E12" s="10"/>
      <c r="F12" s="10"/>
      <c r="G12" s="10"/>
      <c r="H12" s="10" t="str">
        <f t="shared" si="0"/>
        <v/>
      </c>
      <c r="I12" s="10" t="str">
        <f t="shared" si="1"/>
        <v/>
      </c>
    </row>
    <row r="13" spans="2:23" x14ac:dyDescent="0.25">
      <c r="B13" s="5"/>
      <c r="C13" s="8"/>
      <c r="E13" s="10"/>
      <c r="F13" s="10"/>
      <c r="G13" s="10"/>
      <c r="H13" s="10" t="str">
        <f t="shared" si="0"/>
        <v/>
      </c>
      <c r="I13" s="10" t="str">
        <f t="shared" si="1"/>
        <v/>
      </c>
    </row>
    <row r="14" spans="2:23" x14ac:dyDescent="0.25">
      <c r="B14" s="5"/>
      <c r="C14" s="8"/>
      <c r="E14" s="10"/>
      <c r="F14" s="10"/>
      <c r="G14" s="10"/>
      <c r="H14" s="10" t="str">
        <f t="shared" si="0"/>
        <v/>
      </c>
      <c r="I14" s="10" t="str">
        <f t="shared" si="1"/>
        <v/>
      </c>
    </row>
    <row r="15" spans="2:23" x14ac:dyDescent="0.25">
      <c r="B15" s="5"/>
      <c r="C15" s="8"/>
      <c r="E15" s="10"/>
      <c r="F15" s="10"/>
      <c r="G15" s="10"/>
      <c r="H15" s="10" t="str">
        <f t="shared" si="0"/>
        <v/>
      </c>
      <c r="I15" s="10" t="str">
        <f t="shared" si="1"/>
        <v/>
      </c>
    </row>
    <row r="16" spans="2:23" x14ac:dyDescent="0.25">
      <c r="B16" s="5"/>
      <c r="C16" s="8"/>
      <c r="E16" s="10"/>
      <c r="F16" s="10"/>
      <c r="G16" s="10"/>
      <c r="H16" s="10" t="str">
        <f t="shared" si="0"/>
        <v/>
      </c>
      <c r="I16" s="10" t="str">
        <f t="shared" si="1"/>
        <v/>
      </c>
    </row>
    <row r="17" spans="2:26" x14ac:dyDescent="0.25">
      <c r="B17" s="5"/>
      <c r="C17" s="8"/>
      <c r="E17" s="10"/>
      <c r="F17" s="10"/>
      <c r="G17" s="10"/>
      <c r="H17" s="10" t="str">
        <f t="shared" si="0"/>
        <v/>
      </c>
      <c r="I17" s="10" t="str">
        <f t="shared" si="1"/>
        <v/>
      </c>
    </row>
    <row r="18" spans="2:26" x14ac:dyDescent="0.25">
      <c r="B18" s="5"/>
      <c r="C18" s="8"/>
      <c r="E18" s="10"/>
      <c r="F18" s="10"/>
      <c r="G18" s="10"/>
      <c r="H18" s="10" t="str">
        <f t="shared" si="0"/>
        <v/>
      </c>
      <c r="I18" s="10" t="str">
        <f t="shared" si="1"/>
        <v/>
      </c>
    </row>
    <row r="19" spans="2:26" x14ac:dyDescent="0.25">
      <c r="B19" s="5"/>
      <c r="C19" s="8"/>
      <c r="E19" s="10"/>
      <c r="F19" s="10"/>
      <c r="G19" s="10"/>
      <c r="H19" s="10" t="str">
        <f t="shared" si="0"/>
        <v/>
      </c>
      <c r="I19" s="10" t="str">
        <f t="shared" si="1"/>
        <v/>
      </c>
    </row>
    <row r="20" spans="2:26" x14ac:dyDescent="0.25">
      <c r="B20" s="5"/>
      <c r="C20" s="8"/>
      <c r="E20" s="10"/>
      <c r="F20" s="10"/>
      <c r="G20" s="10"/>
      <c r="H20" s="10" t="str">
        <f t="shared" si="0"/>
        <v/>
      </c>
      <c r="I20" s="10" t="str">
        <f t="shared" si="1"/>
        <v/>
      </c>
    </row>
    <row r="21" spans="2:26" x14ac:dyDescent="0.25">
      <c r="B21" s="5"/>
      <c r="C21" s="8"/>
      <c r="E21" s="10"/>
      <c r="F21" s="10"/>
      <c r="G21" s="10"/>
      <c r="H21" s="10" t="str">
        <f t="shared" si="0"/>
        <v/>
      </c>
      <c r="I21" s="10" t="str">
        <f t="shared" si="1"/>
        <v/>
      </c>
    </row>
    <row r="22" spans="2:26" x14ac:dyDescent="0.25">
      <c r="B22" s="5"/>
      <c r="C22" s="8"/>
      <c r="E22" s="10"/>
      <c r="F22" s="10"/>
      <c r="G22" s="10"/>
      <c r="H22" s="10" t="str">
        <f t="shared" si="0"/>
        <v/>
      </c>
      <c r="I22" s="10" t="str">
        <f t="shared" si="1"/>
        <v/>
      </c>
    </row>
    <row r="23" spans="2:26" x14ac:dyDescent="0.25">
      <c r="B23" s="5"/>
      <c r="C23" s="8"/>
      <c r="E23" s="10"/>
      <c r="F23" s="10"/>
      <c r="G23" s="10"/>
      <c r="H23" s="10" t="str">
        <f t="shared" si="0"/>
        <v/>
      </c>
      <c r="I23" s="10" t="str">
        <f t="shared" si="1"/>
        <v/>
      </c>
      <c r="K23" s="51" t="s">
        <v>12</v>
      </c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/>
    </row>
    <row r="24" spans="2:26" x14ac:dyDescent="0.25">
      <c r="B24" s="5"/>
      <c r="C24" s="8"/>
      <c r="E24" s="10"/>
      <c r="F24" s="10"/>
      <c r="G24" s="10"/>
      <c r="H24" s="10" t="str">
        <f t="shared" si="0"/>
        <v/>
      </c>
      <c r="I24" s="10" t="str">
        <f t="shared" si="1"/>
        <v/>
      </c>
      <c r="K24" s="54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6"/>
    </row>
    <row r="25" spans="2:26" x14ac:dyDescent="0.25">
      <c r="B25" s="5"/>
      <c r="C25" s="8"/>
      <c r="E25" s="10"/>
      <c r="F25" s="10"/>
      <c r="G25" s="10"/>
      <c r="H25" s="10" t="str">
        <f t="shared" si="0"/>
        <v/>
      </c>
      <c r="I25" s="10" t="str">
        <f t="shared" si="1"/>
        <v/>
      </c>
      <c r="K25" s="12"/>
      <c r="Z25" s="13"/>
    </row>
    <row r="26" spans="2:26" x14ac:dyDescent="0.25">
      <c r="B26" s="5"/>
      <c r="C26" s="8"/>
      <c r="E26" s="10"/>
      <c r="F26" s="10"/>
      <c r="G26" s="10"/>
      <c r="H26" s="10" t="str">
        <f t="shared" si="0"/>
        <v/>
      </c>
      <c r="I26" s="10" t="str">
        <f t="shared" si="1"/>
        <v/>
      </c>
      <c r="K26" s="12"/>
      <c r="Z26" s="13"/>
    </row>
    <row r="27" spans="2:26" x14ac:dyDescent="0.25">
      <c r="B27" s="5"/>
      <c r="C27" s="8"/>
      <c r="E27" s="10"/>
      <c r="F27" s="10"/>
      <c r="G27" s="10"/>
      <c r="H27" s="10" t="str">
        <f t="shared" si="0"/>
        <v/>
      </c>
      <c r="I27" s="10" t="str">
        <f t="shared" si="1"/>
        <v/>
      </c>
      <c r="K27" s="12"/>
      <c r="Z27" s="13"/>
    </row>
    <row r="28" spans="2:26" x14ac:dyDescent="0.25">
      <c r="B28" s="5"/>
      <c r="C28" s="8"/>
      <c r="E28" s="10"/>
      <c r="F28" s="10"/>
      <c r="G28" s="10"/>
      <c r="H28" s="10" t="str">
        <f t="shared" si="0"/>
        <v/>
      </c>
      <c r="I28" s="10" t="str">
        <f t="shared" si="1"/>
        <v/>
      </c>
      <c r="K28" s="12"/>
      <c r="Z28" s="13"/>
    </row>
    <row r="29" spans="2:26" x14ac:dyDescent="0.25">
      <c r="B29" s="5"/>
      <c r="C29" s="8"/>
      <c r="E29" s="10"/>
      <c r="F29" s="10"/>
      <c r="G29" s="10"/>
      <c r="H29" s="10" t="str">
        <f t="shared" si="0"/>
        <v/>
      </c>
      <c r="I29" s="10" t="str">
        <f t="shared" si="1"/>
        <v/>
      </c>
      <c r="K29" s="12"/>
      <c r="Z29" s="13"/>
    </row>
    <row r="30" spans="2:26" x14ac:dyDescent="0.25">
      <c r="B30" s="5"/>
      <c r="C30" s="8"/>
      <c r="E30" s="10"/>
      <c r="F30" s="10"/>
      <c r="G30" s="10"/>
      <c r="H30" s="10" t="str">
        <f t="shared" si="0"/>
        <v/>
      </c>
      <c r="I30" s="10" t="str">
        <f t="shared" si="1"/>
        <v/>
      </c>
      <c r="K30" s="12"/>
      <c r="Z30" s="13"/>
    </row>
    <row r="31" spans="2:26" x14ac:dyDescent="0.25">
      <c r="B31" s="5"/>
      <c r="C31" s="8"/>
      <c r="E31" s="10"/>
      <c r="F31" s="10"/>
      <c r="G31" s="10"/>
      <c r="H31" s="10" t="str">
        <f t="shared" si="0"/>
        <v/>
      </c>
      <c r="I31" s="10" t="str">
        <f t="shared" si="1"/>
        <v/>
      </c>
      <c r="K31" s="12"/>
      <c r="Z31" s="13"/>
    </row>
    <row r="32" spans="2:26" x14ac:dyDescent="0.25">
      <c r="B32" s="5"/>
      <c r="C32" s="8"/>
      <c r="E32" s="10"/>
      <c r="F32" s="10"/>
      <c r="G32" s="10"/>
      <c r="H32" s="10" t="str">
        <f t="shared" si="0"/>
        <v/>
      </c>
      <c r="I32" s="10" t="str">
        <f t="shared" si="1"/>
        <v/>
      </c>
      <c r="K32" s="12"/>
      <c r="Z32" s="13"/>
    </row>
    <row r="33" spans="2:26" x14ac:dyDescent="0.25">
      <c r="B33" s="5"/>
      <c r="C33" s="8"/>
      <c r="E33" s="10"/>
      <c r="F33" s="10"/>
      <c r="G33" s="10"/>
      <c r="H33" s="10" t="str">
        <f t="shared" si="0"/>
        <v/>
      </c>
      <c r="I33" s="10" t="str">
        <f t="shared" si="1"/>
        <v/>
      </c>
      <c r="K33" s="12"/>
      <c r="Z33" s="13"/>
    </row>
    <row r="34" spans="2:26" x14ac:dyDescent="0.25">
      <c r="B34" s="5"/>
      <c r="C34" s="8"/>
      <c r="E34" s="10"/>
      <c r="F34" s="10"/>
      <c r="G34" s="10"/>
      <c r="H34" s="10" t="str">
        <f t="shared" si="0"/>
        <v/>
      </c>
      <c r="I34" s="10" t="str">
        <f t="shared" si="1"/>
        <v/>
      </c>
      <c r="K34" s="12"/>
      <c r="Z34" s="13"/>
    </row>
    <row r="35" spans="2:26" x14ac:dyDescent="0.25">
      <c r="B35" s="5"/>
      <c r="C35" s="8"/>
      <c r="E35" s="10"/>
      <c r="F35" s="10"/>
      <c r="G35" s="10"/>
      <c r="H35" s="10" t="str">
        <f t="shared" si="0"/>
        <v/>
      </c>
      <c r="I35" s="10" t="str">
        <f t="shared" si="1"/>
        <v/>
      </c>
      <c r="K35" s="12"/>
      <c r="Z35" s="13"/>
    </row>
    <row r="36" spans="2:26" x14ac:dyDescent="0.25">
      <c r="B36" s="5"/>
      <c r="C36" s="8"/>
      <c r="E36" s="10"/>
      <c r="F36" s="10"/>
      <c r="G36" s="10"/>
      <c r="H36" s="10" t="str">
        <f t="shared" si="0"/>
        <v/>
      </c>
      <c r="I36" s="10" t="str">
        <f t="shared" si="1"/>
        <v/>
      </c>
      <c r="K36" s="12"/>
      <c r="Z36" s="13"/>
    </row>
    <row r="37" spans="2:26" x14ac:dyDescent="0.25">
      <c r="B37" s="5"/>
      <c r="C37" s="8"/>
      <c r="E37" s="10"/>
      <c r="F37" s="10"/>
      <c r="G37" s="10"/>
      <c r="H37" s="10" t="str">
        <f t="shared" si="0"/>
        <v/>
      </c>
      <c r="I37" s="10" t="str">
        <f t="shared" si="1"/>
        <v/>
      </c>
      <c r="K37" s="12"/>
      <c r="Z37" s="13"/>
    </row>
    <row r="38" spans="2:26" x14ac:dyDescent="0.25">
      <c r="B38" s="5"/>
      <c r="C38" s="8"/>
      <c r="E38" s="10"/>
      <c r="F38" s="10"/>
      <c r="G38" s="10"/>
      <c r="H38" s="10" t="str">
        <f t="shared" si="0"/>
        <v/>
      </c>
      <c r="I38" s="10" t="str">
        <f t="shared" si="1"/>
        <v/>
      </c>
      <c r="K38" s="12"/>
      <c r="Z38" s="13"/>
    </row>
    <row r="39" spans="2:26" x14ac:dyDescent="0.25">
      <c r="B39" s="5"/>
      <c r="C39" s="8"/>
      <c r="E39" s="10"/>
      <c r="F39" s="10"/>
      <c r="G39" s="10"/>
      <c r="H39" s="10" t="str">
        <f t="shared" si="0"/>
        <v/>
      </c>
      <c r="I39" s="10" t="str">
        <f t="shared" si="1"/>
        <v/>
      </c>
      <c r="K39" s="12"/>
      <c r="Z39" s="13"/>
    </row>
    <row r="40" spans="2:26" x14ac:dyDescent="0.25">
      <c r="B40" s="5"/>
      <c r="C40" s="8"/>
      <c r="E40" s="10"/>
      <c r="F40" s="10"/>
      <c r="G40" s="10"/>
      <c r="H40" s="10" t="str">
        <f t="shared" si="0"/>
        <v/>
      </c>
      <c r="I40" s="10" t="str">
        <f t="shared" si="1"/>
        <v/>
      </c>
      <c r="K40" s="12"/>
      <c r="Z40" s="13"/>
    </row>
    <row r="41" spans="2:26" x14ac:dyDescent="0.25">
      <c r="B41" s="5"/>
      <c r="C41" s="8"/>
      <c r="E41" s="10"/>
      <c r="F41" s="10"/>
      <c r="G41" s="10"/>
      <c r="H41" s="10" t="str">
        <f t="shared" si="0"/>
        <v/>
      </c>
      <c r="I41" s="10" t="str">
        <f t="shared" si="1"/>
        <v/>
      </c>
      <c r="K41" s="12"/>
      <c r="Z41" s="13"/>
    </row>
    <row r="42" spans="2:26" x14ac:dyDescent="0.25">
      <c r="B42" s="5"/>
      <c r="C42" s="8"/>
      <c r="E42" s="10"/>
      <c r="F42" s="10"/>
      <c r="G42" s="10"/>
      <c r="H42" s="10" t="str">
        <f t="shared" si="0"/>
        <v/>
      </c>
      <c r="I42" s="10" t="str">
        <f t="shared" si="1"/>
        <v/>
      </c>
      <c r="K42" s="12"/>
      <c r="Z42" s="13"/>
    </row>
    <row r="43" spans="2:26" x14ac:dyDescent="0.25">
      <c r="B43" s="5"/>
      <c r="C43" s="8"/>
      <c r="E43" s="10"/>
      <c r="F43" s="10"/>
      <c r="G43" s="10"/>
      <c r="H43" s="10" t="str">
        <f t="shared" si="0"/>
        <v/>
      </c>
      <c r="I43" s="10" t="str">
        <f t="shared" si="1"/>
        <v/>
      </c>
      <c r="K43" s="12"/>
      <c r="Z43" s="13"/>
    </row>
    <row r="44" spans="2:26" x14ac:dyDescent="0.25">
      <c r="B44" s="5"/>
      <c r="C44" s="8"/>
      <c r="E44" s="10"/>
      <c r="F44" s="10"/>
      <c r="G44" s="10"/>
      <c r="H44" s="10" t="str">
        <f t="shared" si="0"/>
        <v/>
      </c>
      <c r="I44" s="10" t="str">
        <f t="shared" si="1"/>
        <v/>
      </c>
      <c r="K44" s="14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15"/>
    </row>
    <row r="45" spans="2:26" x14ac:dyDescent="0.25">
      <c r="B45" s="5"/>
      <c r="C45" s="8"/>
      <c r="E45" s="10"/>
      <c r="F45" s="10"/>
      <c r="G45" s="10"/>
      <c r="H45" s="10" t="str">
        <f t="shared" si="0"/>
        <v/>
      </c>
      <c r="I45" s="10" t="str">
        <f t="shared" si="1"/>
        <v/>
      </c>
    </row>
    <row r="46" spans="2:26" x14ac:dyDescent="0.25">
      <c r="B46" s="5"/>
      <c r="C46" s="8"/>
      <c r="E46" s="10"/>
      <c r="F46" s="10"/>
      <c r="G46" s="10"/>
      <c r="H46" s="10" t="str">
        <f t="shared" si="0"/>
        <v/>
      </c>
      <c r="I46" s="10" t="str">
        <f t="shared" si="1"/>
        <v/>
      </c>
    </row>
    <row r="47" spans="2:26" x14ac:dyDescent="0.25">
      <c r="B47" s="5"/>
      <c r="C47" s="8"/>
      <c r="E47" s="10"/>
      <c r="F47" s="10"/>
      <c r="G47" s="10"/>
      <c r="H47" s="10" t="str">
        <f t="shared" si="0"/>
        <v/>
      </c>
      <c r="I47" s="10" t="str">
        <f t="shared" si="1"/>
        <v/>
      </c>
    </row>
    <row r="48" spans="2:26" x14ac:dyDescent="0.25">
      <c r="B48" s="5"/>
      <c r="C48" s="8"/>
      <c r="E48" s="10"/>
      <c r="F48" s="10"/>
      <c r="G48" s="10"/>
      <c r="H48" s="10" t="str">
        <f t="shared" si="0"/>
        <v/>
      </c>
      <c r="I48" s="10" t="str">
        <f t="shared" si="1"/>
        <v/>
      </c>
    </row>
    <row r="49" spans="2:9" x14ac:dyDescent="0.25">
      <c r="B49" s="5"/>
      <c r="C49" s="8"/>
      <c r="E49" s="10"/>
      <c r="F49" s="10"/>
      <c r="G49" s="10"/>
      <c r="H49" s="10" t="str">
        <f t="shared" si="0"/>
        <v/>
      </c>
      <c r="I49" s="10" t="str">
        <f t="shared" si="1"/>
        <v/>
      </c>
    </row>
    <row r="50" spans="2:9" x14ac:dyDescent="0.25">
      <c r="B50" s="5"/>
      <c r="C50" s="8"/>
      <c r="E50" s="10"/>
      <c r="F50" s="10"/>
      <c r="G50" s="10"/>
      <c r="H50" s="10" t="str">
        <f t="shared" si="0"/>
        <v/>
      </c>
      <c r="I50" s="10" t="str">
        <f t="shared" si="1"/>
        <v/>
      </c>
    </row>
    <row r="51" spans="2:9" x14ac:dyDescent="0.25">
      <c r="B51" s="5"/>
      <c r="C51" s="8"/>
      <c r="E51" s="10"/>
      <c r="F51" s="10"/>
      <c r="G51" s="10"/>
      <c r="H51" s="10" t="str">
        <f t="shared" si="0"/>
        <v/>
      </c>
      <c r="I51" s="10" t="str">
        <f t="shared" si="1"/>
        <v/>
      </c>
    </row>
    <row r="52" spans="2:9" x14ac:dyDescent="0.25">
      <c r="B52" s="5"/>
      <c r="C52" s="8"/>
      <c r="E52" s="10"/>
      <c r="F52" s="10"/>
      <c r="G52" s="10"/>
      <c r="H52" s="10" t="str">
        <f t="shared" si="0"/>
        <v/>
      </c>
      <c r="I52" s="10" t="str">
        <f t="shared" si="1"/>
        <v/>
      </c>
    </row>
    <row r="53" spans="2:9" x14ac:dyDescent="0.25">
      <c r="B53" s="5"/>
      <c r="C53" s="8"/>
      <c r="E53" s="10"/>
      <c r="F53" s="10"/>
      <c r="G53" s="10"/>
      <c r="H53" s="10" t="str">
        <f t="shared" si="0"/>
        <v/>
      </c>
      <c r="I53" s="10" t="str">
        <f t="shared" si="1"/>
        <v/>
      </c>
    </row>
    <row r="54" spans="2:9" x14ac:dyDescent="0.25">
      <c r="B54" s="5"/>
      <c r="C54" s="8"/>
      <c r="E54" s="10"/>
      <c r="F54" s="10"/>
      <c r="G54" s="10"/>
      <c r="H54" s="10" t="str">
        <f t="shared" si="0"/>
        <v/>
      </c>
      <c r="I54" s="10" t="str">
        <f t="shared" si="1"/>
        <v/>
      </c>
    </row>
    <row r="55" spans="2:9" x14ac:dyDescent="0.25">
      <c r="B55" s="5"/>
      <c r="C55" s="8"/>
      <c r="E55" s="10"/>
      <c r="F55" s="10"/>
      <c r="G55" s="10"/>
      <c r="H55" s="10" t="str">
        <f t="shared" si="0"/>
        <v/>
      </c>
      <c r="I55" s="10" t="str">
        <f t="shared" si="1"/>
        <v/>
      </c>
    </row>
    <row r="56" spans="2:9" x14ac:dyDescent="0.25">
      <c r="B56" s="5"/>
      <c r="C56" s="8"/>
      <c r="E56" s="10"/>
      <c r="F56" s="10"/>
      <c r="G56" s="10"/>
      <c r="H56" s="10" t="str">
        <f t="shared" si="0"/>
        <v/>
      </c>
      <c r="I56" s="10" t="str">
        <f t="shared" si="1"/>
        <v/>
      </c>
    </row>
    <row r="57" spans="2:9" x14ac:dyDescent="0.25">
      <c r="B57" s="5"/>
      <c r="C57" s="8"/>
      <c r="E57" s="10"/>
      <c r="F57" s="10"/>
      <c r="G57" s="10"/>
      <c r="H57" s="10" t="str">
        <f>IF(F57&gt;0,F57-0.15,"")</f>
        <v/>
      </c>
      <c r="I57" s="10" t="str">
        <f>IF(F57&gt;0,MIN(F57+0.35,0.99),"")</f>
        <v/>
      </c>
    </row>
    <row r="58" spans="2:9" x14ac:dyDescent="0.25">
      <c r="B58" s="5"/>
      <c r="C58" s="8"/>
      <c r="E58" s="10"/>
      <c r="F58" s="10"/>
      <c r="G58" s="10"/>
      <c r="H58" s="10" t="str">
        <f t="shared" ref="H58:H66" si="2">IF(F58&gt;0,F58-0.15,"")</f>
        <v/>
      </c>
      <c r="I58" s="10" t="str">
        <f t="shared" ref="I58:I66" si="3">IF(F58&gt;0,MIN(F58+0.35,0.99),"")</f>
        <v/>
      </c>
    </row>
    <row r="59" spans="2:9" x14ac:dyDescent="0.25">
      <c r="B59" s="5"/>
      <c r="C59" s="8"/>
      <c r="E59" s="10"/>
      <c r="F59" s="10"/>
      <c r="G59" s="10"/>
      <c r="H59" s="10" t="str">
        <f t="shared" si="2"/>
        <v/>
      </c>
      <c r="I59" s="10" t="str">
        <f t="shared" si="3"/>
        <v/>
      </c>
    </row>
    <row r="60" spans="2:9" x14ac:dyDescent="0.25">
      <c r="B60" s="5"/>
      <c r="C60" s="8"/>
      <c r="E60" s="10"/>
      <c r="F60" s="10"/>
      <c r="G60" s="10"/>
      <c r="H60" s="10" t="str">
        <f t="shared" si="2"/>
        <v/>
      </c>
      <c r="I60" s="10" t="str">
        <f t="shared" si="3"/>
        <v/>
      </c>
    </row>
    <row r="61" spans="2:9" x14ac:dyDescent="0.25">
      <c r="B61" s="5"/>
      <c r="C61" s="8"/>
      <c r="E61" s="10"/>
      <c r="F61" s="10"/>
      <c r="G61" s="10"/>
      <c r="H61" s="10" t="str">
        <f t="shared" si="2"/>
        <v/>
      </c>
      <c r="I61" s="10" t="str">
        <f t="shared" si="3"/>
        <v/>
      </c>
    </row>
    <row r="62" spans="2:9" x14ac:dyDescent="0.25">
      <c r="B62" s="5"/>
      <c r="C62" s="8"/>
      <c r="E62" s="10"/>
      <c r="F62" s="10"/>
      <c r="G62" s="10"/>
      <c r="H62" s="10" t="str">
        <f t="shared" si="2"/>
        <v/>
      </c>
      <c r="I62" s="10" t="str">
        <f t="shared" si="3"/>
        <v/>
      </c>
    </row>
    <row r="63" spans="2:9" x14ac:dyDescent="0.25">
      <c r="B63" s="5"/>
      <c r="C63" s="8"/>
      <c r="E63" s="10"/>
      <c r="F63" s="10"/>
      <c r="G63" s="10"/>
      <c r="H63" s="10" t="str">
        <f t="shared" si="2"/>
        <v/>
      </c>
      <c r="I63" s="10" t="str">
        <f t="shared" si="3"/>
        <v/>
      </c>
    </row>
    <row r="64" spans="2:9" x14ac:dyDescent="0.25">
      <c r="B64" s="5"/>
      <c r="C64" s="8"/>
      <c r="E64" s="10"/>
      <c r="F64" s="10"/>
      <c r="G64" s="10"/>
      <c r="H64" s="10" t="str">
        <f t="shared" si="2"/>
        <v/>
      </c>
      <c r="I64" s="10" t="str">
        <f t="shared" si="3"/>
        <v/>
      </c>
    </row>
    <row r="65" spans="2:9" x14ac:dyDescent="0.25">
      <c r="B65" s="5"/>
      <c r="C65" s="8"/>
      <c r="E65" s="10"/>
      <c r="F65" s="10"/>
      <c r="G65" s="10"/>
      <c r="H65" s="10" t="str">
        <f t="shared" si="2"/>
        <v/>
      </c>
      <c r="I65" s="10" t="str">
        <f t="shared" si="3"/>
        <v/>
      </c>
    </row>
    <row r="66" spans="2:9" x14ac:dyDescent="0.25">
      <c r="B66" s="5"/>
      <c r="C66" s="8"/>
      <c r="E66" s="10"/>
      <c r="F66" s="10"/>
      <c r="G66" s="10"/>
      <c r="H66" s="10" t="str">
        <f t="shared" si="2"/>
        <v/>
      </c>
      <c r="I66" s="10" t="str">
        <f t="shared" si="3"/>
        <v/>
      </c>
    </row>
    <row r="67" spans="2:9" x14ac:dyDescent="0.25">
      <c r="B67" s="5"/>
      <c r="C67" s="8"/>
    </row>
    <row r="68" spans="2:9" x14ac:dyDescent="0.25">
      <c r="B68" s="5"/>
      <c r="C68" s="8"/>
    </row>
    <row r="69" spans="2:9" x14ac:dyDescent="0.25">
      <c r="B69" s="5"/>
      <c r="C69" s="8"/>
    </row>
    <row r="70" spans="2:9" x14ac:dyDescent="0.25">
      <c r="B70" s="5"/>
      <c r="C70" s="8"/>
    </row>
    <row r="71" spans="2:9" x14ac:dyDescent="0.25">
      <c r="B71" s="5"/>
      <c r="C71" s="8"/>
    </row>
    <row r="72" spans="2:9" x14ac:dyDescent="0.25">
      <c r="B72" s="5"/>
      <c r="C72" s="8"/>
    </row>
    <row r="73" spans="2:9" x14ac:dyDescent="0.25">
      <c r="B73" s="5"/>
      <c r="C73" s="8"/>
    </row>
    <row r="74" spans="2:9" x14ac:dyDescent="0.25">
      <c r="B74" s="5"/>
      <c r="C74" s="8"/>
    </row>
    <row r="75" spans="2:9" x14ac:dyDescent="0.25">
      <c r="B75" s="5"/>
      <c r="C75" s="8"/>
    </row>
    <row r="76" spans="2:9" x14ac:dyDescent="0.25">
      <c r="B76" s="5"/>
      <c r="C76" s="8"/>
    </row>
    <row r="77" spans="2:9" x14ac:dyDescent="0.25">
      <c r="B77" s="5"/>
      <c r="C77" s="8"/>
    </row>
    <row r="78" spans="2:9" x14ac:dyDescent="0.25">
      <c r="B78" s="5"/>
      <c r="C78" s="8"/>
    </row>
    <row r="79" spans="2:9" x14ac:dyDescent="0.25">
      <c r="B79" s="5"/>
      <c r="C79" s="8"/>
    </row>
    <row r="80" spans="2:9" x14ac:dyDescent="0.25">
      <c r="B80" s="5"/>
      <c r="C80" s="8"/>
    </row>
    <row r="81" spans="2:3" x14ac:dyDescent="0.25">
      <c r="B81" s="5"/>
      <c r="C81" s="8"/>
    </row>
    <row r="82" spans="2:3" x14ac:dyDescent="0.25">
      <c r="B82" s="5"/>
      <c r="C82" s="8"/>
    </row>
    <row r="83" spans="2:3" x14ac:dyDescent="0.25">
      <c r="B83" s="5"/>
      <c r="C83" s="8"/>
    </row>
    <row r="84" spans="2:3" x14ac:dyDescent="0.25">
      <c r="B84" s="5"/>
      <c r="C84" s="8"/>
    </row>
    <row r="85" spans="2:3" x14ac:dyDescent="0.25">
      <c r="B85" s="5"/>
      <c r="C85" s="8"/>
    </row>
    <row r="86" spans="2:3" x14ac:dyDescent="0.25">
      <c r="B86" s="5"/>
      <c r="C86" s="8"/>
    </row>
    <row r="87" spans="2:3" x14ac:dyDescent="0.25">
      <c r="B87" s="5"/>
      <c r="C87" s="8"/>
    </row>
    <row r="88" spans="2:3" x14ac:dyDescent="0.25">
      <c r="B88" s="5"/>
      <c r="C88" s="8"/>
    </row>
    <row r="89" spans="2:3" x14ac:dyDescent="0.25">
      <c r="B89" s="5"/>
      <c r="C89" s="8"/>
    </row>
    <row r="90" spans="2:3" x14ac:dyDescent="0.25">
      <c r="B90" s="5"/>
      <c r="C90" s="8"/>
    </row>
    <row r="91" spans="2:3" x14ac:dyDescent="0.25">
      <c r="B91" s="5"/>
      <c r="C91" s="8"/>
    </row>
    <row r="92" spans="2:3" x14ac:dyDescent="0.25">
      <c r="B92" s="5"/>
      <c r="C92" s="8"/>
    </row>
    <row r="93" spans="2:3" x14ac:dyDescent="0.25">
      <c r="B93" s="5"/>
      <c r="C93" s="8"/>
    </row>
    <row r="94" spans="2:3" x14ac:dyDescent="0.25">
      <c r="B94" s="5"/>
      <c r="C94" s="8"/>
    </row>
    <row r="95" spans="2:3" x14ac:dyDescent="0.25">
      <c r="B95" s="5"/>
      <c r="C95" s="8"/>
    </row>
    <row r="96" spans="2:3" x14ac:dyDescent="0.25">
      <c r="B96" s="5"/>
      <c r="C96" s="8"/>
    </row>
    <row r="97" spans="2:3" x14ac:dyDescent="0.25">
      <c r="B97" s="5"/>
      <c r="C97" s="8"/>
    </row>
    <row r="98" spans="2:3" x14ac:dyDescent="0.25">
      <c r="B98" s="5"/>
      <c r="C98" s="8"/>
    </row>
    <row r="99" spans="2:3" x14ac:dyDescent="0.25">
      <c r="B99" s="5"/>
      <c r="C99" s="8"/>
    </row>
    <row r="100" spans="2:3" x14ac:dyDescent="0.25">
      <c r="B100" s="5"/>
      <c r="C100" s="8"/>
    </row>
    <row r="101" spans="2:3" x14ac:dyDescent="0.25">
      <c r="B101" s="5"/>
      <c r="C101" s="8"/>
    </row>
    <row r="102" spans="2:3" x14ac:dyDescent="0.25">
      <c r="B102" s="5"/>
      <c r="C102" s="8"/>
    </row>
    <row r="103" spans="2:3" x14ac:dyDescent="0.25">
      <c r="B103" s="5"/>
      <c r="C103" s="8"/>
    </row>
  </sheetData>
  <mergeCells count="4">
    <mergeCell ref="B4:C4"/>
    <mergeCell ref="E4:I4"/>
    <mergeCell ref="K4:S4"/>
    <mergeCell ref="K23:Z24"/>
  </mergeCells>
  <pageMargins left="0.7" right="0.7" top="0.75" bottom="0.75" header="0.3" footer="0.3"/>
  <pageSetup orientation="portrait" r:id="rId1"/>
  <headerFooter>
    <oddFooter>&amp;L_x000D_&amp;1#&amp;"Calibri"&amp;10&amp;K000000 Fidelity Internal Information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B840-C771-4B0F-9FF5-2043054B8CAA}">
  <dimension ref="A1:Y291"/>
  <sheetViews>
    <sheetView showGridLines="0" topLeftCell="D4" workbookViewId="0">
      <selection activeCell="M21" sqref="M21"/>
    </sheetView>
  </sheetViews>
  <sheetFormatPr defaultColWidth="9.140625" defaultRowHeight="15" x14ac:dyDescent="0.25"/>
  <cols>
    <col min="1" max="2" width="9.140625" style="1"/>
    <col min="3" max="3" width="24" style="2" bestFit="1" customWidth="1"/>
    <col min="4" max="4" width="13.140625" style="6" customWidth="1"/>
    <col min="5" max="5" width="1.7109375" style="1" customWidth="1"/>
    <col min="6" max="6" width="6.140625" style="1" customWidth="1"/>
    <col min="7" max="7" width="7.5703125" style="1" customWidth="1"/>
    <col min="8" max="8" width="49.140625" style="1" bestFit="1" customWidth="1"/>
    <col min="9" max="9" width="9.140625" style="1"/>
    <col min="10" max="10" width="1.7109375" style="1" customWidth="1"/>
    <col min="11" max="13" width="9.140625" style="1"/>
    <col min="14" max="14" width="1.7109375" style="1" customWidth="1"/>
    <col min="15" max="15" width="28.7109375" style="1" customWidth="1"/>
    <col min="16" max="16" width="14.7109375" style="1" hidden="1" customWidth="1"/>
    <col min="17" max="17" width="6.140625" style="1" bestFit="1" customWidth="1"/>
    <col min="18" max="21" width="8.7109375" style="1" customWidth="1"/>
    <col min="22" max="22" width="8.7109375" style="1" hidden="1" customWidth="1"/>
    <col min="23" max="23" width="8.7109375" style="1" customWidth="1"/>
    <col min="24" max="24" width="1.7109375" style="1" customWidth="1"/>
    <col min="25" max="16384" width="9.140625" style="1"/>
  </cols>
  <sheetData>
    <row r="1" spans="1:25" ht="12" customHeight="1" x14ac:dyDescent="0.25"/>
    <row r="2" spans="1:25" ht="26.25" x14ac:dyDescent="0.4">
      <c r="C2" s="3" t="s">
        <v>19</v>
      </c>
    </row>
    <row r="3" spans="1:25" ht="12" customHeight="1" x14ac:dyDescent="0.25"/>
    <row r="4" spans="1:25" ht="36.75" customHeight="1" x14ac:dyDescent="0.25">
      <c r="C4" s="89" t="s">
        <v>115</v>
      </c>
      <c r="D4" s="88"/>
      <c r="F4" s="90" t="s">
        <v>116</v>
      </c>
      <c r="G4" s="60"/>
      <c r="H4" s="60"/>
      <c r="I4" s="61"/>
      <c r="K4" s="58" t="s">
        <v>6</v>
      </c>
      <c r="L4" s="58"/>
      <c r="M4" s="58"/>
      <c r="O4" s="58" t="s">
        <v>18</v>
      </c>
      <c r="P4" s="58"/>
      <c r="Q4" s="58"/>
      <c r="R4" s="58"/>
      <c r="S4" s="58"/>
      <c r="T4" s="58"/>
      <c r="U4" s="58"/>
      <c r="V4" s="58"/>
      <c r="W4" s="58"/>
    </row>
    <row r="5" spans="1:25" x14ac:dyDescent="0.25">
      <c r="A5" s="64" t="s">
        <v>78</v>
      </c>
      <c r="B5" s="64" t="s">
        <v>80</v>
      </c>
      <c r="C5" s="64" t="s">
        <v>117</v>
      </c>
      <c r="D5" s="65" t="s">
        <v>118</v>
      </c>
      <c r="F5" s="62" t="s">
        <v>23</v>
      </c>
      <c r="G5" s="62" t="s">
        <v>3</v>
      </c>
      <c r="H5" s="62" t="s">
        <v>121</v>
      </c>
      <c r="I5" s="62" t="s">
        <v>79</v>
      </c>
      <c r="K5" s="62" t="s">
        <v>4</v>
      </c>
      <c r="L5" s="62" t="s">
        <v>0</v>
      </c>
      <c r="M5" s="62" t="s">
        <v>1</v>
      </c>
      <c r="O5" s="18" t="s">
        <v>17</v>
      </c>
      <c r="P5" s="18" t="s">
        <v>21</v>
      </c>
      <c r="Q5" s="92" t="s">
        <v>119</v>
      </c>
      <c r="R5" s="18" t="s">
        <v>8</v>
      </c>
      <c r="S5" s="18" t="s">
        <v>9</v>
      </c>
      <c r="T5" s="18" t="s">
        <v>10</v>
      </c>
      <c r="U5" s="18" t="s">
        <v>11</v>
      </c>
      <c r="V5" s="18" t="s">
        <v>22</v>
      </c>
      <c r="W5" s="18" t="s">
        <v>13</v>
      </c>
    </row>
    <row r="6" spans="1:25" x14ac:dyDescent="0.25">
      <c r="A6" s="66">
        <f>2025-C6</f>
        <v>1997.3889999999999</v>
      </c>
      <c r="B6" s="66">
        <f>MIN(6,MAX(0,INT(((C6+5)-20)/10)))</f>
        <v>1</v>
      </c>
      <c r="C6" s="94">
        <v>27.611000000000001</v>
      </c>
      <c r="D6" s="68">
        <v>0.16012000000000001</v>
      </c>
      <c r="F6" s="23" t="str">
        <f t="shared" ref="F6:F21" si="0">IF(G6&lt;&gt;"",IF(G6&gt;0,TEXT(RIGHT(G6,2),"00"),"IN"),"")</f>
        <v>IN</v>
      </c>
      <c r="G6" s="11">
        <v>0</v>
      </c>
      <c r="H6" s="21">
        <v>90.249628671362174</v>
      </c>
      <c r="I6" s="22">
        <v>6.25E-2</v>
      </c>
      <c r="K6" s="19" t="s">
        <v>7</v>
      </c>
      <c r="L6" s="10">
        <v>30</v>
      </c>
      <c r="M6" s="45">
        <f>IF(Q7&lt;&gt;"",Q7,NA())</f>
        <v>0.16068099999999999</v>
      </c>
      <c r="O6" s="93" t="s">
        <v>120</v>
      </c>
      <c r="P6" s="10">
        <v>0</v>
      </c>
      <c r="Q6" s="46">
        <v>0.1048951048951049</v>
      </c>
      <c r="R6" s="47">
        <v>0.34265734265734266</v>
      </c>
      <c r="S6" s="48">
        <v>0.29020979020979021</v>
      </c>
      <c r="T6" s="49">
        <v>0.17482517482517482</v>
      </c>
      <c r="U6" s="50">
        <v>8.7412587412587409E-2</v>
      </c>
      <c r="V6" s="16">
        <v>0</v>
      </c>
      <c r="W6" s="16">
        <v>1</v>
      </c>
    </row>
    <row r="7" spans="1:25" x14ac:dyDescent="0.25">
      <c r="A7" s="66">
        <f t="shared" ref="A7:A70" si="1">2025-C7</f>
        <v>1994.692</v>
      </c>
      <c r="B7" s="66">
        <f t="shared" ref="B7:B70" si="2">MIN(6,MAX(0,INT(((C7+5)-20)/10)))</f>
        <v>1</v>
      </c>
      <c r="C7" s="94">
        <v>30.308</v>
      </c>
      <c r="D7" s="68">
        <v>0.16051599999999999</v>
      </c>
      <c r="F7" s="23" t="str">
        <f t="shared" si="0"/>
        <v>10</v>
      </c>
      <c r="G7" s="11">
        <v>2010</v>
      </c>
      <c r="H7" s="21">
        <v>80.24805437483316</v>
      </c>
      <c r="I7" s="22">
        <v>7.0000000000000007E-2</v>
      </c>
      <c r="K7" s="19" t="s">
        <v>8</v>
      </c>
      <c r="L7" s="10">
        <v>40</v>
      </c>
      <c r="M7" s="45">
        <f>IF(R7&lt;&gt;"",R7,NA())</f>
        <v>0.16073100000000001</v>
      </c>
      <c r="O7" s="63" t="s">
        <v>14</v>
      </c>
      <c r="P7" s="10">
        <v>65535</v>
      </c>
      <c r="Q7" s="45">
        <v>0.16068099999999999</v>
      </c>
      <c r="R7" s="45">
        <v>0.16073100000000001</v>
      </c>
      <c r="S7" s="45">
        <v>0.139185</v>
      </c>
      <c r="T7" s="45">
        <v>0.11697</v>
      </c>
      <c r="U7" s="45">
        <v>0.105171</v>
      </c>
      <c r="V7" s="45">
        <v>65535</v>
      </c>
      <c r="W7" s="45">
        <v>0.149422</v>
      </c>
    </row>
    <row r="8" spans="1:25" x14ac:dyDescent="0.25">
      <c r="A8" s="66">
        <f t="shared" si="1"/>
        <v>1994.3009999999999</v>
      </c>
      <c r="B8" s="66">
        <f t="shared" si="2"/>
        <v>1</v>
      </c>
      <c r="C8" s="94">
        <v>30.699000000000002</v>
      </c>
      <c r="D8" s="68">
        <v>0.16050500000000001</v>
      </c>
      <c r="F8" s="23" t="str">
        <f t="shared" si="0"/>
        <v>15</v>
      </c>
      <c r="G8" s="11">
        <v>2015</v>
      </c>
      <c r="H8" s="21">
        <v>75.24863618007214</v>
      </c>
      <c r="I8" s="22">
        <v>8.0299999999999996E-2</v>
      </c>
      <c r="K8" s="19" t="s">
        <v>9</v>
      </c>
      <c r="L8" s="10">
        <v>50</v>
      </c>
      <c r="M8" s="45">
        <f>IF(S7&lt;&gt;"",S7,NA())</f>
        <v>0.139185</v>
      </c>
      <c r="O8" s="63" t="s">
        <v>15</v>
      </c>
      <c r="P8" s="10">
        <v>65535</v>
      </c>
      <c r="Q8" s="16">
        <v>0.76666666666666672</v>
      </c>
      <c r="R8" s="16">
        <v>0.87755102040816324</v>
      </c>
      <c r="S8" s="16">
        <v>0.73493975903614461</v>
      </c>
      <c r="T8" s="16">
        <v>0.1</v>
      </c>
      <c r="U8" s="16">
        <v>0.28000000000000003</v>
      </c>
      <c r="V8" s="16">
        <v>65535</v>
      </c>
      <c r="W8" s="16">
        <v>0.63636363636363635</v>
      </c>
      <c r="Y8" s="1" t="s">
        <v>77</v>
      </c>
    </row>
    <row r="9" spans="1:25" x14ac:dyDescent="0.25">
      <c r="A9" s="66">
        <f t="shared" si="1"/>
        <v>1993.759</v>
      </c>
      <c r="B9" s="66">
        <f t="shared" si="2"/>
        <v>1</v>
      </c>
      <c r="C9" s="94">
        <v>31.241</v>
      </c>
      <c r="D9" s="68">
        <v>0.16043099999999999</v>
      </c>
      <c r="F9" s="23" t="str">
        <f t="shared" si="0"/>
        <v>20</v>
      </c>
      <c r="G9" s="11">
        <v>2020</v>
      </c>
      <c r="H9" s="21">
        <v>70.246480078304145</v>
      </c>
      <c r="I9" s="22">
        <v>9.2499999999999999E-2</v>
      </c>
      <c r="K9" s="19" t="s">
        <v>10</v>
      </c>
      <c r="L9" s="10">
        <v>60</v>
      </c>
      <c r="M9" s="45">
        <f>IF(T7&lt;&gt;"",T7,NA())</f>
        <v>0.11697</v>
      </c>
    </row>
    <row r="10" spans="1:25" x14ac:dyDescent="0.25">
      <c r="A10" s="66">
        <f t="shared" si="1"/>
        <v>1993.652</v>
      </c>
      <c r="B10" s="66">
        <f t="shared" si="2"/>
        <v>1</v>
      </c>
      <c r="C10" s="94">
        <v>31.347999999999999</v>
      </c>
      <c r="D10" s="68">
        <v>0.16051599999999999</v>
      </c>
      <c r="F10" s="23" t="str">
        <f t="shared" si="0"/>
        <v>25</v>
      </c>
      <c r="G10" s="11">
        <v>2025</v>
      </c>
      <c r="H10" s="21">
        <v>65.247061883543125</v>
      </c>
      <c r="I10" s="22">
        <v>0.10349999999999999</v>
      </c>
      <c r="K10" s="19" t="s">
        <v>11</v>
      </c>
      <c r="L10" s="10">
        <v>70</v>
      </c>
      <c r="M10" s="45">
        <f>IF(U7&lt;&gt;"",U7,NA())</f>
        <v>0.105171</v>
      </c>
      <c r="R10" s="91">
        <f xml:space="preserve"> 86/ 98</f>
        <v>0.87755102040816324</v>
      </c>
    </row>
    <row r="11" spans="1:25" x14ac:dyDescent="0.25">
      <c r="A11" s="66">
        <f t="shared" si="1"/>
        <v>1993.03</v>
      </c>
      <c r="B11" s="66">
        <f t="shared" si="2"/>
        <v>1</v>
      </c>
      <c r="C11" s="94">
        <v>31.97</v>
      </c>
      <c r="D11" s="68">
        <v>0.16051299999999999</v>
      </c>
      <c r="F11" s="23" t="str">
        <f t="shared" si="0"/>
        <v>30</v>
      </c>
      <c r="G11" s="11">
        <v>2030</v>
      </c>
      <c r="H11" s="21">
        <v>60.247643688782112</v>
      </c>
      <c r="I11" s="22">
        <v>0.1135</v>
      </c>
    </row>
    <row r="12" spans="1:25" x14ac:dyDescent="0.25">
      <c r="A12" s="66">
        <f t="shared" si="1"/>
        <v>1992.924</v>
      </c>
      <c r="B12" s="66">
        <f t="shared" si="2"/>
        <v>1</v>
      </c>
      <c r="C12" s="94">
        <v>32.076000000000001</v>
      </c>
      <c r="D12" s="68">
        <v>0.16050200000000001</v>
      </c>
      <c r="F12" s="23" t="str">
        <f t="shared" si="0"/>
        <v>35</v>
      </c>
      <c r="G12" s="11">
        <v>2035</v>
      </c>
      <c r="H12" s="21">
        <v>55.248225494021092</v>
      </c>
      <c r="I12" s="22">
        <v>0.12809999999999999</v>
      </c>
      <c r="O12" s="1" t="s">
        <v>122</v>
      </c>
    </row>
    <row r="13" spans="1:25" x14ac:dyDescent="0.25">
      <c r="A13" s="66">
        <f t="shared" si="1"/>
        <v>1992.904</v>
      </c>
      <c r="B13" s="66">
        <f t="shared" si="2"/>
        <v>1</v>
      </c>
      <c r="C13" s="94">
        <v>32.095999999999997</v>
      </c>
      <c r="D13" s="68">
        <v>0.160464</v>
      </c>
      <c r="F13" s="23" t="str">
        <f t="shared" si="0"/>
        <v>40</v>
      </c>
      <c r="G13" s="11">
        <v>2040</v>
      </c>
      <c r="H13" s="21">
        <v>50.246069392253091</v>
      </c>
      <c r="I13" s="22">
        <v>0.15190000000000001</v>
      </c>
      <c r="O13" s="98" t="s">
        <v>123</v>
      </c>
    </row>
    <row r="14" spans="1:25" x14ac:dyDescent="0.25">
      <c r="A14" s="66">
        <f t="shared" si="1"/>
        <v>1992.85</v>
      </c>
      <c r="B14" s="66">
        <f t="shared" si="2"/>
        <v>1</v>
      </c>
      <c r="C14" s="94">
        <v>32.15</v>
      </c>
      <c r="D14" s="68">
        <v>0.160548</v>
      </c>
      <c r="F14" s="23" t="str">
        <f t="shared" si="0"/>
        <v>45</v>
      </c>
      <c r="G14" s="11">
        <v>2045</v>
      </c>
      <c r="H14" s="21">
        <v>45.246651197492078</v>
      </c>
      <c r="I14" s="22">
        <v>0.1646</v>
      </c>
      <c r="O14" s="98"/>
    </row>
    <row r="15" spans="1:25" x14ac:dyDescent="0.25">
      <c r="A15" s="66">
        <f t="shared" si="1"/>
        <v>1992.576</v>
      </c>
      <c r="B15" s="66">
        <f t="shared" si="2"/>
        <v>1</v>
      </c>
      <c r="C15" s="94">
        <v>32.423999999999999</v>
      </c>
      <c r="D15" s="68">
        <v>0.16053300000000001</v>
      </c>
      <c r="F15" s="23" t="str">
        <f t="shared" si="0"/>
        <v>50</v>
      </c>
      <c r="G15" s="11">
        <v>2050</v>
      </c>
      <c r="H15" s="21">
        <v>40.247233002731065</v>
      </c>
      <c r="I15" s="22">
        <v>0.16450000000000001</v>
      </c>
      <c r="O15" s="98"/>
    </row>
    <row r="16" spans="1:25" x14ac:dyDescent="0.25">
      <c r="A16" s="66">
        <f t="shared" si="1"/>
        <v>1992.403</v>
      </c>
      <c r="B16" s="66">
        <f t="shared" si="2"/>
        <v>1</v>
      </c>
      <c r="C16" s="94">
        <v>32.597000000000001</v>
      </c>
      <c r="D16" s="68">
        <v>0.16051599999999999</v>
      </c>
      <c r="F16" s="23" t="str">
        <f t="shared" si="0"/>
        <v>55</v>
      </c>
      <c r="G16" s="11">
        <v>2055</v>
      </c>
      <c r="H16" s="21">
        <v>35.247814807970045</v>
      </c>
      <c r="I16" s="22">
        <v>0.16420000000000001</v>
      </c>
      <c r="O16" s="98"/>
    </row>
    <row r="17" spans="1:23" x14ac:dyDescent="0.25">
      <c r="A17" s="66">
        <f t="shared" si="1"/>
        <v>1992.223</v>
      </c>
      <c r="B17" s="66">
        <f t="shared" si="2"/>
        <v>1</v>
      </c>
      <c r="C17" s="94">
        <v>32.777000000000001</v>
      </c>
      <c r="D17" s="68">
        <v>0.16068099999999999</v>
      </c>
      <c r="F17" s="23" t="str">
        <f t="shared" si="0"/>
        <v>60</v>
      </c>
      <c r="G17" s="11">
        <v>2060</v>
      </c>
      <c r="H17" s="21">
        <v>30.245658706202043</v>
      </c>
      <c r="I17" s="22">
        <v>0.16439999999999999</v>
      </c>
      <c r="O17" s="98"/>
    </row>
    <row r="18" spans="1:23" x14ac:dyDescent="0.25">
      <c r="A18" s="66">
        <f t="shared" si="1"/>
        <v>1992.19</v>
      </c>
      <c r="B18" s="66">
        <f t="shared" si="2"/>
        <v>1</v>
      </c>
      <c r="C18" s="94">
        <v>32.81</v>
      </c>
      <c r="D18" s="68">
        <v>0.174621</v>
      </c>
      <c r="F18" s="23" t="str">
        <f t="shared" si="0"/>
        <v/>
      </c>
      <c r="G18" s="11"/>
      <c r="H18" s="21"/>
      <c r="I18" s="22"/>
    </row>
    <row r="19" spans="1:23" x14ac:dyDescent="0.25">
      <c r="A19" s="66">
        <f t="shared" si="1"/>
        <v>1992.0150000000001</v>
      </c>
      <c r="B19" s="66">
        <f t="shared" si="2"/>
        <v>1</v>
      </c>
      <c r="C19" s="94">
        <v>32.984999999999999</v>
      </c>
      <c r="D19" s="68">
        <v>0.16068399999999999</v>
      </c>
      <c r="F19" s="23" t="str">
        <f t="shared" si="0"/>
        <v/>
      </c>
      <c r="G19" s="11"/>
      <c r="H19" s="21"/>
      <c r="I19" s="22"/>
    </row>
    <row r="20" spans="1:23" x14ac:dyDescent="0.25">
      <c r="A20" s="66">
        <f t="shared" si="1"/>
        <v>1991.9949999999999</v>
      </c>
      <c r="B20" s="66">
        <f t="shared" si="2"/>
        <v>1</v>
      </c>
      <c r="C20" s="94">
        <v>33.005000000000003</v>
      </c>
      <c r="D20" s="68">
        <v>0.17461499999999999</v>
      </c>
      <c r="F20" s="23" t="str">
        <f t="shared" si="0"/>
        <v/>
      </c>
      <c r="G20" s="11"/>
      <c r="H20" s="21"/>
      <c r="I20" s="22"/>
    </row>
    <row r="21" spans="1:23" x14ac:dyDescent="0.25">
      <c r="A21" s="66">
        <f t="shared" si="1"/>
        <v>1991.88</v>
      </c>
      <c r="B21" s="66">
        <f t="shared" si="2"/>
        <v>1</v>
      </c>
      <c r="C21" s="94">
        <v>33.119999999999997</v>
      </c>
      <c r="D21" s="68">
        <v>0.16750000000000001</v>
      </c>
      <c r="F21" s="23" t="str">
        <f t="shared" si="0"/>
        <v/>
      </c>
      <c r="G21" s="11"/>
      <c r="H21" s="21"/>
      <c r="I21" s="22"/>
      <c r="K21" s="59" t="s">
        <v>20</v>
      </c>
      <c r="L21" s="61"/>
      <c r="M21" s="20">
        <v>0.14549000000000001</v>
      </c>
    </row>
    <row r="22" spans="1:23" x14ac:dyDescent="0.25">
      <c r="A22" s="66">
        <f t="shared" si="1"/>
        <v>1991.7049999999999</v>
      </c>
      <c r="B22" s="66">
        <f t="shared" si="2"/>
        <v>1</v>
      </c>
      <c r="C22" s="94">
        <v>33.295000000000002</v>
      </c>
      <c r="D22" s="68">
        <v>0.165408</v>
      </c>
    </row>
    <row r="23" spans="1:23" x14ac:dyDescent="0.25">
      <c r="A23" s="66">
        <f t="shared" si="1"/>
        <v>1991.527</v>
      </c>
      <c r="B23" s="66">
        <f t="shared" si="2"/>
        <v>1</v>
      </c>
      <c r="C23" s="94">
        <v>33.472999999999999</v>
      </c>
      <c r="D23" s="68">
        <v>0.160689</v>
      </c>
      <c r="F23" s="51" t="s">
        <v>12</v>
      </c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3"/>
    </row>
    <row r="24" spans="1:23" x14ac:dyDescent="0.25">
      <c r="A24" s="66">
        <f t="shared" si="1"/>
        <v>1991.4749999999999</v>
      </c>
      <c r="B24" s="66">
        <f t="shared" si="2"/>
        <v>1</v>
      </c>
      <c r="C24" s="94">
        <v>33.524999999999999</v>
      </c>
      <c r="D24" s="68">
        <v>0.16058600000000001</v>
      </c>
      <c r="F24" s="54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</row>
    <row r="25" spans="1:23" x14ac:dyDescent="0.25">
      <c r="A25" s="66">
        <f t="shared" si="1"/>
        <v>1991.472</v>
      </c>
      <c r="B25" s="66">
        <f t="shared" si="2"/>
        <v>1</v>
      </c>
      <c r="C25" s="94">
        <v>33.527999999999999</v>
      </c>
      <c r="D25" s="68">
        <v>0.16068299999999999</v>
      </c>
      <c r="F25" s="12"/>
      <c r="W25" s="13"/>
    </row>
    <row r="26" spans="1:23" x14ac:dyDescent="0.25">
      <c r="A26" s="66">
        <f t="shared" si="1"/>
        <v>1991.308</v>
      </c>
      <c r="B26" s="66">
        <f t="shared" si="2"/>
        <v>1</v>
      </c>
      <c r="C26" s="94">
        <v>33.692</v>
      </c>
      <c r="D26" s="68">
        <v>0.16069700000000001</v>
      </c>
      <c r="F26" s="12"/>
      <c r="W26" s="13"/>
    </row>
    <row r="27" spans="1:23" x14ac:dyDescent="0.25">
      <c r="A27" s="66">
        <f t="shared" si="1"/>
        <v>1990.952</v>
      </c>
      <c r="B27" s="66">
        <f t="shared" si="2"/>
        <v>1</v>
      </c>
      <c r="C27" s="94">
        <v>34.048000000000002</v>
      </c>
      <c r="D27" s="68">
        <v>0.16076399999999999</v>
      </c>
      <c r="F27" s="12"/>
      <c r="W27" s="13"/>
    </row>
    <row r="28" spans="1:23" x14ac:dyDescent="0.25">
      <c r="A28" s="66">
        <f t="shared" si="1"/>
        <v>1990.867</v>
      </c>
      <c r="B28" s="66">
        <f t="shared" si="2"/>
        <v>1</v>
      </c>
      <c r="C28" s="94">
        <v>34.133000000000003</v>
      </c>
      <c r="D28" s="68">
        <v>0.17072300000000001</v>
      </c>
      <c r="F28" s="12"/>
      <c r="W28" s="13"/>
    </row>
    <row r="29" spans="1:23" x14ac:dyDescent="0.25">
      <c r="A29" s="66">
        <f t="shared" si="1"/>
        <v>1990.75</v>
      </c>
      <c r="B29" s="66">
        <f t="shared" si="2"/>
        <v>1</v>
      </c>
      <c r="C29" s="94">
        <v>34.25</v>
      </c>
      <c r="D29" s="68">
        <v>0.16039200000000001</v>
      </c>
      <c r="F29" s="12"/>
      <c r="W29" s="13"/>
    </row>
    <row r="30" spans="1:23" x14ac:dyDescent="0.25">
      <c r="A30" s="66">
        <f t="shared" si="1"/>
        <v>1990.4159999999999</v>
      </c>
      <c r="B30" s="66">
        <f t="shared" si="2"/>
        <v>1</v>
      </c>
      <c r="C30" s="94">
        <v>34.584000000000003</v>
      </c>
      <c r="D30" s="68">
        <v>0.16061600000000001</v>
      </c>
      <c r="F30" s="12"/>
      <c r="W30" s="13"/>
    </row>
    <row r="31" spans="1:23" x14ac:dyDescent="0.25">
      <c r="A31" s="66">
        <f t="shared" si="1"/>
        <v>1990.413</v>
      </c>
      <c r="B31" s="66">
        <f t="shared" si="2"/>
        <v>1</v>
      </c>
      <c r="C31" s="94">
        <v>34.587000000000003</v>
      </c>
      <c r="D31" s="68">
        <v>0.205371</v>
      </c>
      <c r="F31" s="12"/>
      <c r="W31" s="13"/>
    </row>
    <row r="32" spans="1:23" x14ac:dyDescent="0.25">
      <c r="A32" s="66">
        <f t="shared" si="1"/>
        <v>1990.1310000000001</v>
      </c>
      <c r="B32" s="66">
        <f t="shared" si="2"/>
        <v>1</v>
      </c>
      <c r="C32" s="94">
        <v>34.869</v>
      </c>
      <c r="D32" s="68">
        <v>0.16068099999999999</v>
      </c>
      <c r="F32" s="12"/>
      <c r="W32" s="13"/>
    </row>
    <row r="33" spans="1:23" x14ac:dyDescent="0.25">
      <c r="A33" s="66">
        <f t="shared" si="1"/>
        <v>1990.117</v>
      </c>
      <c r="B33" s="66">
        <f t="shared" si="2"/>
        <v>1</v>
      </c>
      <c r="C33" s="94">
        <v>34.883000000000003</v>
      </c>
      <c r="D33" s="68">
        <v>0.17082600000000001</v>
      </c>
      <c r="F33" s="12"/>
      <c r="W33" s="13"/>
    </row>
    <row r="34" spans="1:23" x14ac:dyDescent="0.25">
      <c r="A34" s="66">
        <f t="shared" si="1"/>
        <v>1990.0509999999999</v>
      </c>
      <c r="B34" s="66">
        <f t="shared" si="2"/>
        <v>1</v>
      </c>
      <c r="C34" s="94">
        <v>34.948999999999998</v>
      </c>
      <c r="D34" s="68">
        <v>0.16079399999999999</v>
      </c>
      <c r="F34" s="12"/>
      <c r="W34" s="13"/>
    </row>
    <row r="35" spans="1:23" x14ac:dyDescent="0.25">
      <c r="A35" s="66">
        <f t="shared" si="1"/>
        <v>1990.527</v>
      </c>
      <c r="B35" s="66">
        <f t="shared" si="2"/>
        <v>1</v>
      </c>
      <c r="C35" s="94">
        <v>34.472999999999999</v>
      </c>
      <c r="D35" s="68">
        <v>0.160722</v>
      </c>
      <c r="F35" s="12"/>
      <c r="W35" s="13"/>
    </row>
    <row r="36" spans="1:23" x14ac:dyDescent="0.25">
      <c r="A36" s="66">
        <f t="shared" si="1"/>
        <v>1989.9780000000001</v>
      </c>
      <c r="B36" s="66">
        <f t="shared" si="2"/>
        <v>2</v>
      </c>
      <c r="C36" s="67">
        <v>35.021999999999998</v>
      </c>
      <c r="D36" s="68">
        <v>0.159745</v>
      </c>
      <c r="F36" s="12"/>
      <c r="W36" s="13"/>
    </row>
    <row r="37" spans="1:23" x14ac:dyDescent="0.25">
      <c r="A37" s="66">
        <f t="shared" si="1"/>
        <v>1989.857</v>
      </c>
      <c r="B37" s="66">
        <f t="shared" si="2"/>
        <v>2</v>
      </c>
      <c r="C37" s="67">
        <v>35.143000000000001</v>
      </c>
      <c r="D37" s="68">
        <v>0.16070300000000001</v>
      </c>
      <c r="F37" s="12"/>
      <c r="W37" s="13"/>
    </row>
    <row r="38" spans="1:23" x14ac:dyDescent="0.25">
      <c r="A38" s="66">
        <f t="shared" si="1"/>
        <v>1989.6959999999999</v>
      </c>
      <c r="B38" s="66">
        <f t="shared" si="2"/>
        <v>2</v>
      </c>
      <c r="C38" s="67">
        <v>35.304000000000002</v>
      </c>
      <c r="D38" s="68">
        <v>0.16070000000000001</v>
      </c>
      <c r="F38" s="12"/>
      <c r="W38" s="13"/>
    </row>
    <row r="39" spans="1:23" x14ac:dyDescent="0.25">
      <c r="A39" s="66">
        <f t="shared" si="1"/>
        <v>1989.6569999999999</v>
      </c>
      <c r="B39" s="66">
        <f t="shared" si="2"/>
        <v>2</v>
      </c>
      <c r="C39" s="67">
        <v>35.343000000000004</v>
      </c>
      <c r="D39" s="68">
        <v>0.16064100000000001</v>
      </c>
      <c r="F39" s="12"/>
      <c r="W39" s="13"/>
    </row>
    <row r="40" spans="1:23" x14ac:dyDescent="0.25">
      <c r="A40" s="66">
        <f t="shared" si="1"/>
        <v>1989.6079999999999</v>
      </c>
      <c r="B40" s="66">
        <f t="shared" si="2"/>
        <v>2</v>
      </c>
      <c r="C40" s="67">
        <v>35.392000000000003</v>
      </c>
      <c r="D40" s="68">
        <v>0.160168</v>
      </c>
      <c r="F40" s="12"/>
      <c r="W40" s="13"/>
    </row>
    <row r="41" spans="1:23" x14ac:dyDescent="0.25">
      <c r="A41" s="66">
        <f t="shared" si="1"/>
        <v>1989.444</v>
      </c>
      <c r="B41" s="66">
        <f t="shared" si="2"/>
        <v>2</v>
      </c>
      <c r="C41" s="67">
        <v>35.555999999999997</v>
      </c>
      <c r="D41" s="68">
        <v>0.17543800000000001</v>
      </c>
      <c r="F41" s="12"/>
      <c r="W41" s="13"/>
    </row>
    <row r="42" spans="1:23" x14ac:dyDescent="0.25">
      <c r="A42" s="66">
        <f t="shared" si="1"/>
        <v>1989.3230000000001</v>
      </c>
      <c r="B42" s="66">
        <f t="shared" si="2"/>
        <v>2</v>
      </c>
      <c r="C42" s="67">
        <v>35.677</v>
      </c>
      <c r="D42" s="68">
        <v>0.16067500000000001</v>
      </c>
      <c r="F42" s="12"/>
      <c r="W42" s="13"/>
    </row>
    <row r="43" spans="1:23" x14ac:dyDescent="0.25">
      <c r="A43" s="66">
        <f t="shared" si="1"/>
        <v>1989.17</v>
      </c>
      <c r="B43" s="66">
        <f t="shared" si="2"/>
        <v>2</v>
      </c>
      <c r="C43" s="67">
        <v>35.83</v>
      </c>
      <c r="D43" s="68">
        <v>0.16068299999999999</v>
      </c>
      <c r="F43" s="12"/>
      <c r="W43" s="13"/>
    </row>
    <row r="44" spans="1:23" x14ac:dyDescent="0.25">
      <c r="A44" s="66">
        <f t="shared" si="1"/>
        <v>1988.973</v>
      </c>
      <c r="B44" s="66">
        <f t="shared" si="2"/>
        <v>2</v>
      </c>
      <c r="C44" s="67">
        <v>36.027000000000001</v>
      </c>
      <c r="D44" s="68">
        <v>0.16068299999999999</v>
      </c>
      <c r="F44" s="14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15"/>
    </row>
    <row r="45" spans="1:23" x14ac:dyDescent="0.25">
      <c r="A45" s="66">
        <f t="shared" si="1"/>
        <v>1988.962</v>
      </c>
      <c r="B45" s="66">
        <f t="shared" si="2"/>
        <v>2</v>
      </c>
      <c r="C45" s="67">
        <v>36.037999999999997</v>
      </c>
      <c r="D45" s="68">
        <v>0.16068299999999999</v>
      </c>
    </row>
    <row r="46" spans="1:23" x14ac:dyDescent="0.25">
      <c r="A46" s="66">
        <f t="shared" si="1"/>
        <v>1988.902</v>
      </c>
      <c r="B46" s="66">
        <f t="shared" si="2"/>
        <v>2</v>
      </c>
      <c r="C46" s="67">
        <v>36.097999999999999</v>
      </c>
      <c r="D46" s="68">
        <v>0.16066900000000001</v>
      </c>
    </row>
    <row r="47" spans="1:23" x14ac:dyDescent="0.25">
      <c r="A47" s="66">
        <f t="shared" si="1"/>
        <v>1988.8520000000001</v>
      </c>
      <c r="B47" s="66">
        <f t="shared" si="2"/>
        <v>2</v>
      </c>
      <c r="C47" s="67">
        <v>36.148000000000003</v>
      </c>
      <c r="D47" s="68">
        <v>0.160693</v>
      </c>
    </row>
    <row r="48" spans="1:23" x14ac:dyDescent="0.25">
      <c r="A48" s="66">
        <f t="shared" si="1"/>
        <v>1988.836</v>
      </c>
      <c r="B48" s="66">
        <f t="shared" si="2"/>
        <v>2</v>
      </c>
      <c r="C48" s="67">
        <v>36.164000000000001</v>
      </c>
      <c r="D48" s="68">
        <v>0.16118099999999999</v>
      </c>
    </row>
    <row r="49" spans="1:4" x14ac:dyDescent="0.25">
      <c r="A49" s="66">
        <f t="shared" si="1"/>
        <v>1988.7650000000001</v>
      </c>
      <c r="B49" s="66">
        <f t="shared" si="2"/>
        <v>2</v>
      </c>
      <c r="C49" s="67">
        <v>36.234999999999999</v>
      </c>
      <c r="D49" s="68">
        <v>0.162078</v>
      </c>
    </row>
    <row r="50" spans="1:4" x14ac:dyDescent="0.25">
      <c r="A50" s="66">
        <f t="shared" si="1"/>
        <v>1988.7239999999999</v>
      </c>
      <c r="B50" s="66">
        <f t="shared" si="2"/>
        <v>2</v>
      </c>
      <c r="C50" s="67">
        <v>36.276000000000003</v>
      </c>
      <c r="D50" s="68">
        <v>0.160686</v>
      </c>
    </row>
    <row r="51" spans="1:4" x14ac:dyDescent="0.25">
      <c r="A51" s="66">
        <f t="shared" si="1"/>
        <v>1988.6659999999999</v>
      </c>
      <c r="B51" s="66">
        <f t="shared" si="2"/>
        <v>2</v>
      </c>
      <c r="C51" s="67">
        <v>36.334000000000003</v>
      </c>
      <c r="D51" s="68">
        <v>0.16067999999999999</v>
      </c>
    </row>
    <row r="52" spans="1:4" x14ac:dyDescent="0.25">
      <c r="A52" s="66">
        <f t="shared" si="1"/>
        <v>1988.277</v>
      </c>
      <c r="B52" s="66">
        <f t="shared" si="2"/>
        <v>2</v>
      </c>
      <c r="C52" s="67">
        <v>36.722999999999999</v>
      </c>
      <c r="D52" s="68">
        <v>4.3332000000000002E-2</v>
      </c>
    </row>
    <row r="53" spans="1:4" x14ac:dyDescent="0.25">
      <c r="A53" s="66">
        <f t="shared" si="1"/>
        <v>1988.0989999999999</v>
      </c>
      <c r="B53" s="66">
        <f t="shared" si="2"/>
        <v>2</v>
      </c>
      <c r="C53" s="67">
        <v>36.901000000000003</v>
      </c>
      <c r="D53" s="68">
        <v>0.16156499999999999</v>
      </c>
    </row>
    <row r="54" spans="1:4" x14ac:dyDescent="0.25">
      <c r="A54" s="66">
        <f t="shared" si="1"/>
        <v>1987.962</v>
      </c>
      <c r="B54" s="66">
        <f t="shared" si="2"/>
        <v>2</v>
      </c>
      <c r="C54" s="67">
        <v>37.037999999999997</v>
      </c>
      <c r="D54" s="68">
        <v>0.16070799999999999</v>
      </c>
    </row>
    <row r="55" spans="1:4" x14ac:dyDescent="0.25">
      <c r="A55" s="66">
        <f t="shared" si="1"/>
        <v>1987.9459999999999</v>
      </c>
      <c r="B55" s="66">
        <f t="shared" si="2"/>
        <v>2</v>
      </c>
      <c r="C55" s="67">
        <v>37.054000000000002</v>
      </c>
      <c r="D55" s="68">
        <v>0.135329</v>
      </c>
    </row>
    <row r="56" spans="1:4" x14ac:dyDescent="0.25">
      <c r="A56" s="66">
        <f t="shared" si="1"/>
        <v>1987.7080000000001</v>
      </c>
      <c r="B56" s="66">
        <f t="shared" si="2"/>
        <v>2</v>
      </c>
      <c r="C56" s="67">
        <v>37.292000000000002</v>
      </c>
      <c r="D56" s="68">
        <v>0.17560200000000001</v>
      </c>
    </row>
    <row r="57" spans="1:4" x14ac:dyDescent="0.25">
      <c r="A57" s="66">
        <f t="shared" si="1"/>
        <v>1987.585</v>
      </c>
      <c r="B57" s="66">
        <f t="shared" si="2"/>
        <v>2</v>
      </c>
      <c r="C57" s="67">
        <v>37.414999999999999</v>
      </c>
      <c r="D57" s="68">
        <v>0.16068099999999999</v>
      </c>
    </row>
    <row r="58" spans="1:4" x14ac:dyDescent="0.25">
      <c r="A58" s="66">
        <f t="shared" si="1"/>
        <v>1987.453</v>
      </c>
      <c r="B58" s="66">
        <f t="shared" si="2"/>
        <v>2</v>
      </c>
      <c r="C58" s="67">
        <v>37.546999999999997</v>
      </c>
      <c r="D58" s="68">
        <v>0.160689</v>
      </c>
    </row>
    <row r="59" spans="1:4" x14ac:dyDescent="0.25">
      <c r="A59" s="66">
        <f t="shared" si="1"/>
        <v>1987.0809999999999</v>
      </c>
      <c r="B59" s="66">
        <f t="shared" si="2"/>
        <v>2</v>
      </c>
      <c r="C59" s="67">
        <v>37.918999999999997</v>
      </c>
      <c r="D59" s="68">
        <v>0.160168</v>
      </c>
    </row>
    <row r="60" spans="1:4" x14ac:dyDescent="0.25">
      <c r="A60" s="66">
        <f t="shared" si="1"/>
        <v>1987.0119999999999</v>
      </c>
      <c r="B60" s="66">
        <f t="shared" si="2"/>
        <v>2</v>
      </c>
      <c r="C60" s="67">
        <v>37.988</v>
      </c>
      <c r="D60" s="68">
        <v>0.16131799999999999</v>
      </c>
    </row>
    <row r="61" spans="1:4" x14ac:dyDescent="0.25">
      <c r="A61" s="66">
        <f t="shared" si="1"/>
        <v>1987.0119999999999</v>
      </c>
      <c r="B61" s="66">
        <f t="shared" si="2"/>
        <v>2</v>
      </c>
      <c r="C61" s="67">
        <v>37.988</v>
      </c>
      <c r="D61" s="68">
        <v>0.160748</v>
      </c>
    </row>
    <row r="62" spans="1:4" x14ac:dyDescent="0.25">
      <c r="A62" s="66">
        <f t="shared" si="1"/>
        <v>1986.971</v>
      </c>
      <c r="B62" s="66">
        <f t="shared" si="2"/>
        <v>2</v>
      </c>
      <c r="C62" s="67">
        <v>38.029000000000003</v>
      </c>
      <c r="D62" s="68">
        <v>0.16075200000000001</v>
      </c>
    </row>
    <row r="63" spans="1:4" x14ac:dyDescent="0.25">
      <c r="A63" s="66">
        <f t="shared" si="1"/>
        <v>1986.903</v>
      </c>
      <c r="B63" s="66">
        <f t="shared" si="2"/>
        <v>2</v>
      </c>
      <c r="C63" s="67">
        <v>38.097000000000001</v>
      </c>
      <c r="D63" s="68">
        <v>0.16069700000000001</v>
      </c>
    </row>
    <row r="64" spans="1:4" x14ac:dyDescent="0.25">
      <c r="A64" s="66">
        <f t="shared" si="1"/>
        <v>1986.7929999999999</v>
      </c>
      <c r="B64" s="66">
        <f t="shared" si="2"/>
        <v>2</v>
      </c>
      <c r="C64" s="67">
        <v>38.207000000000001</v>
      </c>
      <c r="D64" s="68">
        <v>0.16075600000000001</v>
      </c>
    </row>
    <row r="65" spans="1:4" x14ac:dyDescent="0.25">
      <c r="A65" s="66">
        <f t="shared" si="1"/>
        <v>1986.7739999999999</v>
      </c>
      <c r="B65" s="66">
        <f t="shared" si="2"/>
        <v>2</v>
      </c>
      <c r="C65" s="67">
        <v>38.225999999999999</v>
      </c>
      <c r="D65" s="68">
        <v>7.8855999999999996E-2</v>
      </c>
    </row>
    <row r="66" spans="1:4" x14ac:dyDescent="0.25">
      <c r="A66" s="66">
        <f t="shared" si="1"/>
        <v>1986.6320000000001</v>
      </c>
      <c r="B66" s="66">
        <f t="shared" si="2"/>
        <v>2</v>
      </c>
      <c r="C66" s="67">
        <v>38.368000000000002</v>
      </c>
      <c r="D66" s="68">
        <v>0.160749</v>
      </c>
    </row>
    <row r="67" spans="1:4" x14ac:dyDescent="0.25">
      <c r="A67" s="66">
        <f t="shared" si="1"/>
        <v>1986.6179999999999</v>
      </c>
      <c r="B67" s="66">
        <f t="shared" si="2"/>
        <v>2</v>
      </c>
      <c r="C67" s="67">
        <v>38.381999999999998</v>
      </c>
      <c r="D67" s="68">
        <v>0.160749</v>
      </c>
    </row>
    <row r="68" spans="1:4" x14ac:dyDescent="0.25">
      <c r="A68" s="66">
        <f t="shared" si="1"/>
        <v>1986.58</v>
      </c>
      <c r="B68" s="66">
        <f t="shared" si="2"/>
        <v>2</v>
      </c>
      <c r="C68" s="67">
        <v>38.42</v>
      </c>
      <c r="D68" s="68">
        <v>0.160748</v>
      </c>
    </row>
    <row r="69" spans="1:4" x14ac:dyDescent="0.25">
      <c r="A69" s="66">
        <f t="shared" si="1"/>
        <v>1986.2760000000001</v>
      </c>
      <c r="B69" s="66">
        <f t="shared" si="2"/>
        <v>2</v>
      </c>
      <c r="C69" s="67">
        <v>38.723999999999997</v>
      </c>
      <c r="D69" s="68">
        <v>0.17555499999999999</v>
      </c>
    </row>
    <row r="70" spans="1:4" x14ac:dyDescent="0.25">
      <c r="A70" s="66">
        <f t="shared" si="1"/>
        <v>1986.1030000000001</v>
      </c>
      <c r="B70" s="66">
        <f t="shared" si="2"/>
        <v>2</v>
      </c>
      <c r="C70" s="67">
        <v>38.896999999999998</v>
      </c>
      <c r="D70" s="68">
        <v>0.16075</v>
      </c>
    </row>
    <row r="71" spans="1:4" x14ac:dyDescent="0.25">
      <c r="A71" s="66">
        <f t="shared" ref="A71:A134" si="3">2025-C71</f>
        <v>1985.9829999999999</v>
      </c>
      <c r="B71" s="66">
        <f t="shared" ref="B71:B134" si="4">MIN(6,MAX(0,INT(((C71+5)-20)/10)))</f>
        <v>2</v>
      </c>
      <c r="C71" s="67">
        <v>39.017000000000003</v>
      </c>
      <c r="D71" s="68">
        <v>0.16078200000000001</v>
      </c>
    </row>
    <row r="72" spans="1:4" x14ac:dyDescent="0.25">
      <c r="A72" s="66">
        <f t="shared" si="3"/>
        <v>1985.723</v>
      </c>
      <c r="B72" s="66">
        <f t="shared" si="4"/>
        <v>2</v>
      </c>
      <c r="C72" s="67">
        <v>39.277000000000001</v>
      </c>
      <c r="D72" s="68">
        <v>0.160748</v>
      </c>
    </row>
    <row r="73" spans="1:4" x14ac:dyDescent="0.25">
      <c r="A73" s="66">
        <f t="shared" si="3"/>
        <v>1985.7059999999999</v>
      </c>
      <c r="B73" s="66">
        <f t="shared" si="4"/>
        <v>2</v>
      </c>
      <c r="C73" s="67">
        <v>39.293999999999997</v>
      </c>
      <c r="D73" s="68">
        <v>0.16054399999999999</v>
      </c>
    </row>
    <row r="74" spans="1:4" x14ac:dyDescent="0.25">
      <c r="A74" s="66">
        <f t="shared" si="3"/>
        <v>1985.6759999999999</v>
      </c>
      <c r="B74" s="66">
        <f t="shared" si="4"/>
        <v>2</v>
      </c>
      <c r="C74" s="67">
        <v>39.323999999999998</v>
      </c>
      <c r="D74" s="68">
        <v>0.15873699999999999</v>
      </c>
    </row>
    <row r="75" spans="1:4" x14ac:dyDescent="0.25">
      <c r="A75" s="66">
        <f t="shared" si="3"/>
        <v>1985.665</v>
      </c>
      <c r="B75" s="66">
        <f t="shared" si="4"/>
        <v>2</v>
      </c>
      <c r="C75" s="67">
        <v>39.335000000000001</v>
      </c>
      <c r="D75" s="68">
        <v>0.160749</v>
      </c>
    </row>
    <row r="76" spans="1:4" x14ac:dyDescent="0.25">
      <c r="A76" s="66">
        <f t="shared" si="3"/>
        <v>1985.567</v>
      </c>
      <c r="B76" s="66">
        <f t="shared" si="4"/>
        <v>2</v>
      </c>
      <c r="C76" s="67">
        <v>39.433</v>
      </c>
      <c r="D76" s="68">
        <v>0.16075</v>
      </c>
    </row>
    <row r="77" spans="1:4" x14ac:dyDescent="0.25">
      <c r="A77" s="66">
        <f t="shared" si="3"/>
        <v>1985.5340000000001</v>
      </c>
      <c r="B77" s="66">
        <f t="shared" si="4"/>
        <v>2</v>
      </c>
      <c r="C77" s="67">
        <v>39.466000000000001</v>
      </c>
      <c r="D77" s="68">
        <v>0.16072400000000001</v>
      </c>
    </row>
    <row r="78" spans="1:4" x14ac:dyDescent="0.25">
      <c r="A78" s="66">
        <f t="shared" si="3"/>
        <v>1985.479</v>
      </c>
      <c r="B78" s="66">
        <f t="shared" si="4"/>
        <v>2</v>
      </c>
      <c r="C78" s="67">
        <v>39.521000000000001</v>
      </c>
      <c r="D78" s="68">
        <v>0.160751</v>
      </c>
    </row>
    <row r="79" spans="1:4" x14ac:dyDescent="0.25">
      <c r="A79" s="66">
        <f t="shared" si="3"/>
        <v>1985.3009999999999</v>
      </c>
      <c r="B79" s="66">
        <f t="shared" si="4"/>
        <v>2</v>
      </c>
      <c r="C79" s="67">
        <v>39.698999999999998</v>
      </c>
      <c r="D79" s="68">
        <v>0.173926</v>
      </c>
    </row>
    <row r="80" spans="1:4" x14ac:dyDescent="0.25">
      <c r="A80" s="66">
        <f t="shared" si="3"/>
        <v>1985.241</v>
      </c>
      <c r="B80" s="66">
        <f t="shared" si="4"/>
        <v>2</v>
      </c>
      <c r="C80" s="67">
        <v>39.759</v>
      </c>
      <c r="D80" s="68">
        <v>0.12772</v>
      </c>
    </row>
    <row r="81" spans="1:4" x14ac:dyDescent="0.25">
      <c r="A81" s="66">
        <f t="shared" si="3"/>
        <v>1985.123</v>
      </c>
      <c r="B81" s="66">
        <f t="shared" si="4"/>
        <v>2</v>
      </c>
      <c r="C81" s="67">
        <v>39.877000000000002</v>
      </c>
      <c r="D81" s="68">
        <v>0.160749</v>
      </c>
    </row>
    <row r="82" spans="1:4" x14ac:dyDescent="0.25">
      <c r="A82" s="66">
        <f t="shared" si="3"/>
        <v>1985.09</v>
      </c>
      <c r="B82" s="66">
        <f t="shared" si="4"/>
        <v>2</v>
      </c>
      <c r="C82" s="67">
        <v>39.909999999999997</v>
      </c>
      <c r="D82" s="68">
        <v>0.160749</v>
      </c>
    </row>
    <row r="83" spans="1:4" x14ac:dyDescent="0.25">
      <c r="A83" s="66">
        <f t="shared" si="3"/>
        <v>1984.992</v>
      </c>
      <c r="B83" s="66">
        <f t="shared" si="4"/>
        <v>2</v>
      </c>
      <c r="C83" s="67">
        <v>40.008000000000003</v>
      </c>
      <c r="D83" s="68">
        <v>0.160746</v>
      </c>
    </row>
    <row r="84" spans="1:4" x14ac:dyDescent="0.25">
      <c r="A84" s="66">
        <f t="shared" si="3"/>
        <v>1984.951</v>
      </c>
      <c r="B84" s="66">
        <f t="shared" si="4"/>
        <v>2</v>
      </c>
      <c r="C84" s="67">
        <v>40.048999999999999</v>
      </c>
      <c r="D84" s="68">
        <v>0.16098499999999999</v>
      </c>
    </row>
    <row r="85" spans="1:4" x14ac:dyDescent="0.25">
      <c r="A85" s="66">
        <f t="shared" si="3"/>
        <v>1984.94</v>
      </c>
      <c r="B85" s="66">
        <f t="shared" si="4"/>
        <v>2</v>
      </c>
      <c r="C85" s="67">
        <v>40.06</v>
      </c>
      <c r="D85" s="68">
        <v>0.16073399999999999</v>
      </c>
    </row>
    <row r="86" spans="1:4" x14ac:dyDescent="0.25">
      <c r="A86" s="66">
        <f t="shared" si="3"/>
        <v>1984.7560000000001</v>
      </c>
      <c r="B86" s="66">
        <f t="shared" si="4"/>
        <v>2</v>
      </c>
      <c r="C86" s="67">
        <v>40.244</v>
      </c>
      <c r="D86" s="68">
        <v>0.16073399999999999</v>
      </c>
    </row>
    <row r="87" spans="1:4" x14ac:dyDescent="0.25">
      <c r="A87" s="66">
        <f t="shared" si="3"/>
        <v>1984.7370000000001</v>
      </c>
      <c r="B87" s="66">
        <f t="shared" si="4"/>
        <v>2</v>
      </c>
      <c r="C87" s="67">
        <v>40.262999999999998</v>
      </c>
      <c r="D87" s="68">
        <v>0.16086300000000001</v>
      </c>
    </row>
    <row r="88" spans="1:4" x14ac:dyDescent="0.25">
      <c r="A88" s="66">
        <f t="shared" si="3"/>
        <v>1984.614</v>
      </c>
      <c r="B88" s="66">
        <f t="shared" si="4"/>
        <v>2</v>
      </c>
      <c r="C88" s="67">
        <v>40.386000000000003</v>
      </c>
      <c r="D88" s="68">
        <v>0.160749</v>
      </c>
    </row>
    <row r="89" spans="1:4" x14ac:dyDescent="0.25">
      <c r="A89" s="66">
        <f t="shared" si="3"/>
        <v>1984.559</v>
      </c>
      <c r="B89" s="66">
        <f t="shared" si="4"/>
        <v>2</v>
      </c>
      <c r="C89" s="67">
        <v>40.441000000000003</v>
      </c>
      <c r="D89" s="68">
        <v>0.16075</v>
      </c>
    </row>
    <row r="90" spans="1:4" x14ac:dyDescent="0.25">
      <c r="A90" s="66">
        <f t="shared" si="3"/>
        <v>1984.414</v>
      </c>
      <c r="B90" s="66">
        <f t="shared" si="4"/>
        <v>2</v>
      </c>
      <c r="C90" s="67">
        <v>40.585999999999999</v>
      </c>
      <c r="D90" s="68">
        <v>0.160638</v>
      </c>
    </row>
    <row r="91" spans="1:4" x14ac:dyDescent="0.25">
      <c r="A91" s="66">
        <f t="shared" si="3"/>
        <v>1984.3889999999999</v>
      </c>
      <c r="B91" s="66">
        <f t="shared" si="4"/>
        <v>2</v>
      </c>
      <c r="C91" s="67">
        <v>40.610999999999997</v>
      </c>
      <c r="D91" s="68">
        <v>0.160748</v>
      </c>
    </row>
    <row r="92" spans="1:4" x14ac:dyDescent="0.25">
      <c r="A92" s="66">
        <f t="shared" si="3"/>
        <v>1984.239</v>
      </c>
      <c r="B92" s="66">
        <f t="shared" si="4"/>
        <v>2</v>
      </c>
      <c r="C92" s="67">
        <v>40.761000000000003</v>
      </c>
      <c r="D92" s="68">
        <v>0.16072800000000001</v>
      </c>
    </row>
    <row r="93" spans="1:4" x14ac:dyDescent="0.25">
      <c r="A93" s="66">
        <f t="shared" si="3"/>
        <v>1983.96</v>
      </c>
      <c r="B93" s="66">
        <f t="shared" si="4"/>
        <v>2</v>
      </c>
      <c r="C93" s="67">
        <v>41.04</v>
      </c>
      <c r="D93" s="68">
        <v>0.161269</v>
      </c>
    </row>
    <row r="94" spans="1:4" x14ac:dyDescent="0.25">
      <c r="A94" s="66">
        <f t="shared" si="3"/>
        <v>1983.9380000000001</v>
      </c>
      <c r="B94" s="66">
        <f t="shared" si="4"/>
        <v>2</v>
      </c>
      <c r="C94" s="67">
        <v>41.061999999999998</v>
      </c>
      <c r="D94" s="68">
        <v>0.16082099999999999</v>
      </c>
    </row>
    <row r="95" spans="1:4" x14ac:dyDescent="0.25">
      <c r="A95" s="66">
        <f t="shared" si="3"/>
        <v>1983.8989999999999</v>
      </c>
      <c r="B95" s="66">
        <f t="shared" si="4"/>
        <v>2</v>
      </c>
      <c r="C95" s="67">
        <v>41.100999999999999</v>
      </c>
      <c r="D95" s="68">
        <v>0.18290100000000001</v>
      </c>
    </row>
    <row r="96" spans="1:4" x14ac:dyDescent="0.25">
      <c r="A96" s="66">
        <f t="shared" si="3"/>
        <v>1983.8989999999999</v>
      </c>
      <c r="B96" s="66">
        <f t="shared" si="4"/>
        <v>2</v>
      </c>
      <c r="C96" s="67">
        <v>41.100999999999999</v>
      </c>
      <c r="D96" s="68">
        <v>0.160748</v>
      </c>
    </row>
    <row r="97" spans="1:4" x14ac:dyDescent="0.25">
      <c r="A97" s="66">
        <f t="shared" si="3"/>
        <v>1983.8579999999999</v>
      </c>
      <c r="B97" s="66">
        <f t="shared" si="4"/>
        <v>2</v>
      </c>
      <c r="C97" s="67">
        <v>41.142000000000003</v>
      </c>
      <c r="D97" s="68">
        <v>0.160749</v>
      </c>
    </row>
    <row r="98" spans="1:4" x14ac:dyDescent="0.25">
      <c r="A98" s="66">
        <f t="shared" si="3"/>
        <v>1983.598</v>
      </c>
      <c r="B98" s="66">
        <f t="shared" si="4"/>
        <v>2</v>
      </c>
      <c r="C98" s="67">
        <v>41.402000000000001</v>
      </c>
      <c r="D98" s="68">
        <v>0.160661</v>
      </c>
    </row>
    <row r="99" spans="1:4" x14ac:dyDescent="0.25">
      <c r="A99" s="66">
        <f t="shared" si="3"/>
        <v>1983.2560000000001</v>
      </c>
      <c r="B99" s="66">
        <f t="shared" si="4"/>
        <v>2</v>
      </c>
      <c r="C99" s="67">
        <v>41.744</v>
      </c>
      <c r="D99" s="68">
        <v>0.160745</v>
      </c>
    </row>
    <row r="100" spans="1:4" x14ac:dyDescent="0.25">
      <c r="A100" s="66">
        <f t="shared" si="3"/>
        <v>1982.7080000000001</v>
      </c>
      <c r="B100" s="66">
        <f t="shared" si="4"/>
        <v>2</v>
      </c>
      <c r="C100" s="67">
        <v>42.292000000000002</v>
      </c>
      <c r="D100" s="68">
        <v>0.160748</v>
      </c>
    </row>
    <row r="101" spans="1:4" x14ac:dyDescent="0.25">
      <c r="A101" s="66">
        <f t="shared" si="3"/>
        <v>1982.6559999999999</v>
      </c>
      <c r="B101" s="66">
        <f t="shared" si="4"/>
        <v>2</v>
      </c>
      <c r="C101" s="67">
        <v>42.344000000000001</v>
      </c>
      <c r="D101" s="68">
        <v>0.14736099999999999</v>
      </c>
    </row>
    <row r="102" spans="1:4" x14ac:dyDescent="0.25">
      <c r="A102" s="66">
        <f t="shared" si="3"/>
        <v>1982.624</v>
      </c>
      <c r="B102" s="66">
        <f t="shared" si="4"/>
        <v>2</v>
      </c>
      <c r="C102" s="67">
        <v>42.375999999999998</v>
      </c>
      <c r="D102" s="68">
        <v>0.160748</v>
      </c>
    </row>
    <row r="103" spans="1:4" x14ac:dyDescent="0.25">
      <c r="A103" s="66">
        <f t="shared" si="3"/>
        <v>1982.5139999999999</v>
      </c>
      <c r="B103" s="66">
        <f t="shared" si="4"/>
        <v>2</v>
      </c>
      <c r="C103" s="67">
        <v>42.485999999999997</v>
      </c>
      <c r="D103" s="68">
        <v>0.17554700000000001</v>
      </c>
    </row>
    <row r="104" spans="1:4" x14ac:dyDescent="0.25">
      <c r="A104" s="66">
        <f t="shared" si="3"/>
        <v>1982.5</v>
      </c>
      <c r="B104" s="66">
        <f t="shared" si="4"/>
        <v>2</v>
      </c>
      <c r="C104" s="67">
        <v>42.5</v>
      </c>
      <c r="D104" s="68">
        <v>0.15831100000000001</v>
      </c>
    </row>
    <row r="105" spans="1:4" x14ac:dyDescent="0.25">
      <c r="A105" s="66">
        <f t="shared" si="3"/>
        <v>1982.421</v>
      </c>
      <c r="B105" s="66">
        <f t="shared" si="4"/>
        <v>2</v>
      </c>
      <c r="C105" s="67">
        <v>42.579000000000001</v>
      </c>
      <c r="D105" s="68">
        <v>0.16075500000000001</v>
      </c>
    </row>
    <row r="106" spans="1:4" x14ac:dyDescent="0.25">
      <c r="A106" s="66">
        <f t="shared" si="3"/>
        <v>1982.3989999999999</v>
      </c>
      <c r="B106" s="66">
        <f t="shared" si="4"/>
        <v>2</v>
      </c>
      <c r="C106" s="67">
        <v>42.600999999999999</v>
      </c>
      <c r="D106" s="68">
        <v>0.160826</v>
      </c>
    </row>
    <row r="107" spans="1:4" x14ac:dyDescent="0.25">
      <c r="A107" s="66">
        <f t="shared" si="3"/>
        <v>1982.2570000000001</v>
      </c>
      <c r="B107" s="66">
        <f t="shared" si="4"/>
        <v>2</v>
      </c>
      <c r="C107" s="67">
        <v>42.743000000000002</v>
      </c>
      <c r="D107" s="68">
        <v>0.160749</v>
      </c>
    </row>
    <row r="108" spans="1:4" x14ac:dyDescent="0.25">
      <c r="A108" s="66">
        <f t="shared" si="3"/>
        <v>1982.1659999999999</v>
      </c>
      <c r="B108" s="66">
        <f t="shared" si="4"/>
        <v>2</v>
      </c>
      <c r="C108" s="67">
        <v>42.834000000000003</v>
      </c>
      <c r="D108" s="68">
        <v>0.16662399999999999</v>
      </c>
    </row>
    <row r="109" spans="1:4" x14ac:dyDescent="0.25">
      <c r="A109" s="66">
        <f t="shared" si="3"/>
        <v>1982.153</v>
      </c>
      <c r="B109" s="66">
        <f t="shared" si="4"/>
        <v>2</v>
      </c>
      <c r="C109" s="67">
        <v>42.847000000000001</v>
      </c>
      <c r="D109" s="68">
        <v>0.14942</v>
      </c>
    </row>
    <row r="110" spans="1:4" x14ac:dyDescent="0.25">
      <c r="A110" s="66">
        <f t="shared" si="3"/>
        <v>1982.1310000000001</v>
      </c>
      <c r="B110" s="66">
        <f t="shared" si="4"/>
        <v>2</v>
      </c>
      <c r="C110" s="67">
        <v>42.869</v>
      </c>
      <c r="D110" s="68">
        <v>0.14942</v>
      </c>
    </row>
    <row r="111" spans="1:4" x14ac:dyDescent="0.25">
      <c r="A111" s="66">
        <f t="shared" si="3"/>
        <v>1981.934</v>
      </c>
      <c r="B111" s="66">
        <f t="shared" si="4"/>
        <v>2</v>
      </c>
      <c r="C111" s="67">
        <v>43.066000000000003</v>
      </c>
      <c r="D111" s="68">
        <v>0.13062199999999999</v>
      </c>
    </row>
    <row r="112" spans="1:4" x14ac:dyDescent="0.25">
      <c r="A112" s="66">
        <f t="shared" si="3"/>
        <v>1981.816</v>
      </c>
      <c r="B112" s="66">
        <f t="shared" si="4"/>
        <v>2</v>
      </c>
      <c r="C112" s="67">
        <v>43.183999999999997</v>
      </c>
      <c r="D112" s="68">
        <v>0.14942</v>
      </c>
    </row>
    <row r="113" spans="1:4" x14ac:dyDescent="0.25">
      <c r="A113" s="66">
        <f t="shared" si="3"/>
        <v>1981.8019999999999</v>
      </c>
      <c r="B113" s="66">
        <f t="shared" si="4"/>
        <v>2</v>
      </c>
      <c r="C113" s="67">
        <v>43.198</v>
      </c>
      <c r="D113" s="68">
        <v>0.149422</v>
      </c>
    </row>
    <row r="114" spans="1:4" x14ac:dyDescent="0.25">
      <c r="A114" s="66">
        <f t="shared" si="3"/>
        <v>1981.742</v>
      </c>
      <c r="B114" s="66">
        <f t="shared" si="4"/>
        <v>2</v>
      </c>
      <c r="C114" s="67">
        <v>43.258000000000003</v>
      </c>
      <c r="D114" s="68">
        <v>0.149424</v>
      </c>
    </row>
    <row r="115" spans="1:4" x14ac:dyDescent="0.25">
      <c r="A115" s="66">
        <f t="shared" si="3"/>
        <v>1981.704</v>
      </c>
      <c r="B115" s="66">
        <f t="shared" si="4"/>
        <v>2</v>
      </c>
      <c r="C115" s="67">
        <v>43.295999999999999</v>
      </c>
      <c r="D115" s="68">
        <v>0.149422</v>
      </c>
    </row>
    <row r="116" spans="1:4" x14ac:dyDescent="0.25">
      <c r="A116" s="66">
        <f t="shared" si="3"/>
        <v>1981.5720000000001</v>
      </c>
      <c r="B116" s="66">
        <f t="shared" si="4"/>
        <v>2</v>
      </c>
      <c r="C116" s="67">
        <v>43.427999999999997</v>
      </c>
      <c r="D116" s="68">
        <v>0.14942</v>
      </c>
    </row>
    <row r="117" spans="1:4" x14ac:dyDescent="0.25">
      <c r="A117" s="66">
        <f t="shared" si="3"/>
        <v>1981.509</v>
      </c>
      <c r="B117" s="66">
        <f t="shared" si="4"/>
        <v>2</v>
      </c>
      <c r="C117" s="67">
        <v>43.491</v>
      </c>
      <c r="D117" s="68">
        <v>0.17458799999999999</v>
      </c>
    </row>
    <row r="118" spans="1:4" x14ac:dyDescent="0.25">
      <c r="A118" s="66">
        <f t="shared" si="3"/>
        <v>1981.298</v>
      </c>
      <c r="B118" s="66">
        <f t="shared" si="4"/>
        <v>2</v>
      </c>
      <c r="C118" s="67">
        <v>43.701999999999998</v>
      </c>
      <c r="D118" s="68">
        <v>0.14951800000000001</v>
      </c>
    </row>
    <row r="119" spans="1:4" x14ac:dyDescent="0.25">
      <c r="A119" s="66">
        <f t="shared" si="3"/>
        <v>1981.2049999999999</v>
      </c>
      <c r="B119" s="66">
        <f t="shared" si="4"/>
        <v>2</v>
      </c>
      <c r="C119" s="67">
        <v>43.795000000000002</v>
      </c>
      <c r="D119" s="68">
        <v>0.172399</v>
      </c>
    </row>
    <row r="120" spans="1:4" x14ac:dyDescent="0.25">
      <c r="A120" s="66">
        <f t="shared" si="3"/>
        <v>1981.126</v>
      </c>
      <c r="B120" s="66">
        <f t="shared" si="4"/>
        <v>2</v>
      </c>
      <c r="C120" s="67">
        <v>43.874000000000002</v>
      </c>
      <c r="D120" s="68">
        <v>0.17474600000000001</v>
      </c>
    </row>
    <row r="121" spans="1:4" x14ac:dyDescent="0.25">
      <c r="A121" s="66">
        <f t="shared" si="3"/>
        <v>1981.0139999999999</v>
      </c>
      <c r="B121" s="66">
        <f t="shared" si="4"/>
        <v>2</v>
      </c>
      <c r="C121" s="67">
        <v>43.985999999999997</v>
      </c>
      <c r="D121" s="68">
        <v>0.149422</v>
      </c>
    </row>
    <row r="122" spans="1:4" x14ac:dyDescent="0.25">
      <c r="A122" s="66">
        <f t="shared" si="3"/>
        <v>1980.9939999999999</v>
      </c>
      <c r="B122" s="66">
        <f t="shared" si="4"/>
        <v>2</v>
      </c>
      <c r="C122" s="67">
        <v>44.006</v>
      </c>
      <c r="D122" s="68">
        <v>4.3614E-2</v>
      </c>
    </row>
    <row r="123" spans="1:4" x14ac:dyDescent="0.25">
      <c r="A123" s="66">
        <f t="shared" si="3"/>
        <v>1980.89</v>
      </c>
      <c r="B123" s="66">
        <f t="shared" si="4"/>
        <v>2</v>
      </c>
      <c r="C123" s="67">
        <v>44.11</v>
      </c>
      <c r="D123" s="68">
        <v>0.169183</v>
      </c>
    </row>
    <row r="124" spans="1:4" x14ac:dyDescent="0.25">
      <c r="A124" s="66">
        <f t="shared" si="3"/>
        <v>1980.8579999999999</v>
      </c>
      <c r="B124" s="66">
        <f t="shared" si="4"/>
        <v>2</v>
      </c>
      <c r="C124" s="67">
        <v>44.142000000000003</v>
      </c>
      <c r="D124" s="68">
        <v>0.14942</v>
      </c>
    </row>
    <row r="125" spans="1:4" x14ac:dyDescent="0.25">
      <c r="A125" s="66">
        <f t="shared" si="3"/>
        <v>1980.8440000000001</v>
      </c>
      <c r="B125" s="66">
        <f t="shared" si="4"/>
        <v>2</v>
      </c>
      <c r="C125" s="67">
        <v>44.155999999999999</v>
      </c>
      <c r="D125" s="68">
        <v>0.14941699999999999</v>
      </c>
    </row>
    <row r="126" spans="1:4" x14ac:dyDescent="0.25">
      <c r="A126" s="66">
        <f t="shared" si="3"/>
        <v>1980.808</v>
      </c>
      <c r="B126" s="66">
        <f t="shared" si="4"/>
        <v>2</v>
      </c>
      <c r="C126" s="67">
        <v>44.192</v>
      </c>
      <c r="D126" s="68">
        <v>0.14942</v>
      </c>
    </row>
    <row r="127" spans="1:4" x14ac:dyDescent="0.25">
      <c r="A127" s="66">
        <f t="shared" si="3"/>
        <v>1980.682</v>
      </c>
      <c r="B127" s="66">
        <f t="shared" si="4"/>
        <v>2</v>
      </c>
      <c r="C127" s="67">
        <v>44.317999999999998</v>
      </c>
      <c r="D127" s="68">
        <v>0.149424</v>
      </c>
    </row>
    <row r="128" spans="1:4" x14ac:dyDescent="0.25">
      <c r="A128" s="66">
        <f t="shared" si="3"/>
        <v>1980.644</v>
      </c>
      <c r="B128" s="66">
        <f t="shared" si="4"/>
        <v>2</v>
      </c>
      <c r="C128" s="67">
        <v>44.356000000000002</v>
      </c>
      <c r="D128" s="68">
        <v>0.160745</v>
      </c>
    </row>
    <row r="129" spans="1:4" x14ac:dyDescent="0.25">
      <c r="A129" s="66">
        <f t="shared" si="3"/>
        <v>1980.578</v>
      </c>
      <c r="B129" s="66">
        <f t="shared" si="4"/>
        <v>2</v>
      </c>
      <c r="C129" s="67">
        <v>44.421999999999997</v>
      </c>
      <c r="D129" s="68">
        <v>0.149423</v>
      </c>
    </row>
    <row r="130" spans="1:4" x14ac:dyDescent="0.25">
      <c r="A130" s="66">
        <f t="shared" si="3"/>
        <v>1980.34</v>
      </c>
      <c r="B130" s="66">
        <f t="shared" si="4"/>
        <v>2</v>
      </c>
      <c r="C130" s="67">
        <v>44.66</v>
      </c>
      <c r="D130" s="68">
        <v>0.105173</v>
      </c>
    </row>
    <row r="131" spans="1:4" x14ac:dyDescent="0.25">
      <c r="A131" s="66">
        <f t="shared" si="3"/>
        <v>1980.17</v>
      </c>
      <c r="B131" s="66">
        <f t="shared" si="4"/>
        <v>2</v>
      </c>
      <c r="C131" s="67">
        <v>44.83</v>
      </c>
      <c r="D131" s="68">
        <v>0.170818</v>
      </c>
    </row>
    <row r="132" spans="1:4" x14ac:dyDescent="0.25">
      <c r="A132" s="66">
        <f t="shared" si="3"/>
        <v>1980.058</v>
      </c>
      <c r="B132" s="66">
        <f t="shared" si="4"/>
        <v>2</v>
      </c>
      <c r="C132" s="67">
        <v>44.942</v>
      </c>
      <c r="D132" s="68">
        <v>0.14942</v>
      </c>
    </row>
    <row r="133" spans="1:4" x14ac:dyDescent="0.25">
      <c r="A133" s="66">
        <f t="shared" si="3"/>
        <v>1980.0550000000001</v>
      </c>
      <c r="B133" s="66">
        <f t="shared" si="4"/>
        <v>2</v>
      </c>
      <c r="C133" s="67">
        <v>44.945</v>
      </c>
      <c r="D133" s="68">
        <v>0.14932400000000001</v>
      </c>
    </row>
    <row r="134" spans="1:4" x14ac:dyDescent="0.25">
      <c r="A134" s="66">
        <f t="shared" si="3"/>
        <v>1979.913</v>
      </c>
      <c r="B134" s="66">
        <f t="shared" si="4"/>
        <v>3</v>
      </c>
      <c r="C134" s="95">
        <v>45.087000000000003</v>
      </c>
      <c r="D134" s="68">
        <v>0.14943300000000001</v>
      </c>
    </row>
    <row r="135" spans="1:4" x14ac:dyDescent="0.25">
      <c r="A135" s="66">
        <f t="shared" ref="A135:A198" si="5">2025-C135</f>
        <v>1979.7159999999999</v>
      </c>
      <c r="B135" s="66">
        <f t="shared" ref="B135:B198" si="6">MIN(6,MAX(0,INT(((C135+5)-20)/10)))</f>
        <v>3</v>
      </c>
      <c r="C135" s="95">
        <v>45.283999999999999</v>
      </c>
      <c r="D135" s="68">
        <v>0.14943100000000001</v>
      </c>
    </row>
    <row r="136" spans="1:4" x14ac:dyDescent="0.25">
      <c r="A136" s="66">
        <f t="shared" si="5"/>
        <v>1979.606</v>
      </c>
      <c r="B136" s="66">
        <f t="shared" si="6"/>
        <v>3</v>
      </c>
      <c r="C136" s="95">
        <v>45.393999999999998</v>
      </c>
      <c r="D136" s="68">
        <v>0.149419</v>
      </c>
    </row>
    <row r="137" spans="1:4" x14ac:dyDescent="0.25">
      <c r="A137" s="66">
        <f t="shared" si="5"/>
        <v>1979.5730000000001</v>
      </c>
      <c r="B137" s="66">
        <f t="shared" si="6"/>
        <v>3</v>
      </c>
      <c r="C137" s="95">
        <v>45.427</v>
      </c>
      <c r="D137" s="68">
        <v>0.14942</v>
      </c>
    </row>
    <row r="138" spans="1:4" x14ac:dyDescent="0.25">
      <c r="A138" s="66">
        <f t="shared" si="5"/>
        <v>1979.5650000000001</v>
      </c>
      <c r="B138" s="66">
        <f t="shared" si="6"/>
        <v>3</v>
      </c>
      <c r="C138" s="95">
        <v>45.435000000000002</v>
      </c>
      <c r="D138" s="68">
        <v>0.14942</v>
      </c>
    </row>
    <row r="139" spans="1:4" x14ac:dyDescent="0.25">
      <c r="A139" s="66">
        <f t="shared" si="5"/>
        <v>1979.5160000000001</v>
      </c>
      <c r="B139" s="66">
        <f t="shared" si="6"/>
        <v>3</v>
      </c>
      <c r="C139" s="95">
        <v>45.484000000000002</v>
      </c>
      <c r="D139" s="68">
        <v>0.14949599999999999</v>
      </c>
    </row>
    <row r="140" spans="1:4" x14ac:dyDescent="0.25">
      <c r="A140" s="66">
        <f t="shared" si="5"/>
        <v>1979.0889999999999</v>
      </c>
      <c r="B140" s="66">
        <f t="shared" si="6"/>
        <v>3</v>
      </c>
      <c r="C140" s="95">
        <v>45.911000000000001</v>
      </c>
      <c r="D140" s="68">
        <v>0.14937</v>
      </c>
    </row>
    <row r="141" spans="1:4" x14ac:dyDescent="0.25">
      <c r="A141" s="66">
        <f t="shared" si="5"/>
        <v>1978.9470000000001</v>
      </c>
      <c r="B141" s="66">
        <f t="shared" si="6"/>
        <v>3</v>
      </c>
      <c r="C141" s="95">
        <v>46.052999999999997</v>
      </c>
      <c r="D141" s="68">
        <v>0.14944199999999999</v>
      </c>
    </row>
    <row r="142" spans="1:4" x14ac:dyDescent="0.25">
      <c r="A142" s="66">
        <f t="shared" si="5"/>
        <v>1978.8779999999999</v>
      </c>
      <c r="B142" s="66">
        <f t="shared" si="6"/>
        <v>3</v>
      </c>
      <c r="C142" s="95">
        <v>46.122</v>
      </c>
      <c r="D142" s="68">
        <v>0.14942</v>
      </c>
    </row>
    <row r="143" spans="1:4" x14ac:dyDescent="0.25">
      <c r="A143" s="66">
        <f t="shared" si="5"/>
        <v>1978.867</v>
      </c>
      <c r="B143" s="66">
        <f t="shared" si="6"/>
        <v>3</v>
      </c>
      <c r="C143" s="95">
        <v>46.133000000000003</v>
      </c>
      <c r="D143" s="68">
        <v>0.14942</v>
      </c>
    </row>
    <row r="144" spans="1:4" x14ac:dyDescent="0.25">
      <c r="A144" s="66">
        <f t="shared" si="5"/>
        <v>1978.79</v>
      </c>
      <c r="B144" s="66">
        <f t="shared" si="6"/>
        <v>3</v>
      </c>
      <c r="C144" s="95">
        <v>46.21</v>
      </c>
      <c r="D144" s="68">
        <v>0.149426</v>
      </c>
    </row>
    <row r="145" spans="1:4" x14ac:dyDescent="0.25">
      <c r="A145" s="66">
        <f t="shared" si="5"/>
        <v>1978.76</v>
      </c>
      <c r="B145" s="66">
        <f t="shared" si="6"/>
        <v>3</v>
      </c>
      <c r="C145" s="95">
        <v>46.24</v>
      </c>
      <c r="D145" s="68">
        <v>0.14974899999999999</v>
      </c>
    </row>
    <row r="146" spans="1:4" x14ac:dyDescent="0.25">
      <c r="A146" s="66">
        <f t="shared" si="5"/>
        <v>1978.5909999999999</v>
      </c>
      <c r="B146" s="66">
        <f t="shared" si="6"/>
        <v>3</v>
      </c>
      <c r="C146" s="95">
        <v>46.408999999999999</v>
      </c>
      <c r="D146" s="68">
        <v>0.175541</v>
      </c>
    </row>
    <row r="147" spans="1:4" x14ac:dyDescent="0.25">
      <c r="A147" s="66">
        <f t="shared" si="5"/>
        <v>1978.5630000000001</v>
      </c>
      <c r="B147" s="66">
        <f t="shared" si="6"/>
        <v>3</v>
      </c>
      <c r="C147" s="95">
        <v>46.436999999999998</v>
      </c>
      <c r="D147" s="68">
        <v>0.149422</v>
      </c>
    </row>
    <row r="148" spans="1:4" x14ac:dyDescent="0.25">
      <c r="A148" s="66">
        <f t="shared" si="5"/>
        <v>1978.451</v>
      </c>
      <c r="B148" s="66">
        <f t="shared" si="6"/>
        <v>3</v>
      </c>
      <c r="C148" s="95">
        <v>46.548999999999999</v>
      </c>
      <c r="D148" s="68">
        <v>0.14939</v>
      </c>
    </row>
    <row r="149" spans="1:4" x14ac:dyDescent="0.25">
      <c r="A149" s="66">
        <f t="shared" si="5"/>
        <v>1978.3689999999999</v>
      </c>
      <c r="B149" s="66">
        <f t="shared" si="6"/>
        <v>3</v>
      </c>
      <c r="C149" s="95">
        <v>46.631</v>
      </c>
      <c r="D149" s="68">
        <v>0.149419</v>
      </c>
    </row>
    <row r="150" spans="1:4" x14ac:dyDescent="0.25">
      <c r="A150" s="66">
        <f t="shared" si="5"/>
        <v>1978.2239999999999</v>
      </c>
      <c r="B150" s="66">
        <f t="shared" si="6"/>
        <v>3</v>
      </c>
      <c r="C150" s="95">
        <v>46.776000000000003</v>
      </c>
      <c r="D150" s="68">
        <v>0.14941499999999999</v>
      </c>
    </row>
    <row r="151" spans="1:4" x14ac:dyDescent="0.25">
      <c r="A151" s="66">
        <f t="shared" si="5"/>
        <v>1978.117</v>
      </c>
      <c r="B151" s="66">
        <f t="shared" si="6"/>
        <v>3</v>
      </c>
      <c r="C151" s="95">
        <v>46.883000000000003</v>
      </c>
      <c r="D151" s="68">
        <v>0.149425</v>
      </c>
    </row>
    <row r="152" spans="1:4" x14ac:dyDescent="0.25">
      <c r="A152" s="66">
        <f t="shared" si="5"/>
        <v>1978.09</v>
      </c>
      <c r="B152" s="66">
        <f t="shared" si="6"/>
        <v>3</v>
      </c>
      <c r="C152" s="95">
        <v>46.91</v>
      </c>
      <c r="D152" s="68">
        <v>0.14944299999999999</v>
      </c>
    </row>
    <row r="153" spans="1:4" x14ac:dyDescent="0.25">
      <c r="A153" s="66">
        <f t="shared" si="5"/>
        <v>1978.046</v>
      </c>
      <c r="B153" s="66">
        <f t="shared" si="6"/>
        <v>3</v>
      </c>
      <c r="C153" s="95">
        <v>46.954000000000001</v>
      </c>
      <c r="D153" s="68">
        <v>0.149423</v>
      </c>
    </row>
    <row r="154" spans="1:4" x14ac:dyDescent="0.25">
      <c r="A154" s="66">
        <f t="shared" si="5"/>
        <v>1978.0319999999999</v>
      </c>
      <c r="B154" s="66">
        <f t="shared" si="6"/>
        <v>3</v>
      </c>
      <c r="C154" s="95">
        <v>46.968000000000004</v>
      </c>
      <c r="D154" s="68">
        <v>0.149423</v>
      </c>
    </row>
    <row r="155" spans="1:4" x14ac:dyDescent="0.25">
      <c r="A155" s="66">
        <f t="shared" si="5"/>
        <v>1977.9960000000001</v>
      </c>
      <c r="B155" s="66">
        <f t="shared" si="6"/>
        <v>3</v>
      </c>
      <c r="C155" s="95">
        <v>47.003999999999998</v>
      </c>
      <c r="D155" s="68">
        <v>0.148981</v>
      </c>
    </row>
    <row r="156" spans="1:4" x14ac:dyDescent="0.25">
      <c r="A156" s="66">
        <f t="shared" si="5"/>
        <v>1977.9829999999999</v>
      </c>
      <c r="B156" s="66">
        <f t="shared" si="6"/>
        <v>3</v>
      </c>
      <c r="C156" s="95">
        <v>47.017000000000003</v>
      </c>
      <c r="D156" s="68">
        <v>0.149419</v>
      </c>
    </row>
    <row r="157" spans="1:4" x14ac:dyDescent="0.25">
      <c r="A157" s="66">
        <f t="shared" si="5"/>
        <v>1977.9279999999999</v>
      </c>
      <c r="B157" s="66">
        <f t="shared" si="6"/>
        <v>3</v>
      </c>
      <c r="C157" s="95">
        <v>47.072000000000003</v>
      </c>
      <c r="D157" s="68">
        <v>0.149423</v>
      </c>
    </row>
    <row r="158" spans="1:4" x14ac:dyDescent="0.25">
      <c r="A158" s="66">
        <f t="shared" si="5"/>
        <v>1977.797</v>
      </c>
      <c r="B158" s="66">
        <f t="shared" si="6"/>
        <v>3</v>
      </c>
      <c r="C158" s="95">
        <v>47.203000000000003</v>
      </c>
      <c r="D158" s="68">
        <v>0.14929799999999999</v>
      </c>
    </row>
    <row r="159" spans="1:4" x14ac:dyDescent="0.25">
      <c r="A159" s="66">
        <f t="shared" si="5"/>
        <v>1977.742</v>
      </c>
      <c r="B159" s="66">
        <f t="shared" si="6"/>
        <v>3</v>
      </c>
      <c r="C159" s="95">
        <v>47.258000000000003</v>
      </c>
      <c r="D159" s="68">
        <v>0.149425</v>
      </c>
    </row>
    <row r="160" spans="1:4" x14ac:dyDescent="0.25">
      <c r="A160" s="66">
        <f t="shared" si="5"/>
        <v>1977.7339999999999</v>
      </c>
      <c r="B160" s="66">
        <f t="shared" si="6"/>
        <v>3</v>
      </c>
      <c r="C160" s="95">
        <v>47.265999999999998</v>
      </c>
      <c r="D160" s="68">
        <v>0.14942</v>
      </c>
    </row>
    <row r="161" spans="1:4" x14ac:dyDescent="0.25">
      <c r="A161" s="66">
        <f t="shared" si="5"/>
        <v>1977.5529999999999</v>
      </c>
      <c r="B161" s="66">
        <f t="shared" si="6"/>
        <v>3</v>
      </c>
      <c r="C161" s="95">
        <v>47.447000000000003</v>
      </c>
      <c r="D161" s="68">
        <v>0.14942</v>
      </c>
    </row>
    <row r="162" spans="1:4" x14ac:dyDescent="0.25">
      <c r="A162" s="66">
        <f t="shared" si="5"/>
        <v>1977.528</v>
      </c>
      <c r="B162" s="66">
        <f t="shared" si="6"/>
        <v>3</v>
      </c>
      <c r="C162" s="95">
        <v>47.472000000000001</v>
      </c>
      <c r="D162" s="68">
        <v>0.17213600000000001</v>
      </c>
    </row>
    <row r="163" spans="1:4" x14ac:dyDescent="0.25">
      <c r="A163" s="66">
        <f t="shared" si="5"/>
        <v>1977.1779999999999</v>
      </c>
      <c r="B163" s="66">
        <f t="shared" si="6"/>
        <v>3</v>
      </c>
      <c r="C163" s="95">
        <v>47.822000000000003</v>
      </c>
      <c r="D163" s="68">
        <v>0.13902500000000001</v>
      </c>
    </row>
    <row r="164" spans="1:4" x14ac:dyDescent="0.25">
      <c r="A164" s="66">
        <f t="shared" si="5"/>
        <v>1977.107</v>
      </c>
      <c r="B164" s="66">
        <f t="shared" si="6"/>
        <v>3</v>
      </c>
      <c r="C164" s="95">
        <v>47.893000000000001</v>
      </c>
      <c r="D164" s="68">
        <v>0.13894899999999999</v>
      </c>
    </row>
    <row r="165" spans="1:4" x14ac:dyDescent="0.25">
      <c r="A165" s="66">
        <f t="shared" si="5"/>
        <v>1977.038</v>
      </c>
      <c r="B165" s="66">
        <f t="shared" si="6"/>
        <v>3</v>
      </c>
      <c r="C165" s="95">
        <v>47.962000000000003</v>
      </c>
      <c r="D165" s="68">
        <v>0.138989</v>
      </c>
    </row>
    <row r="166" spans="1:4" x14ac:dyDescent="0.25">
      <c r="A166" s="66">
        <f t="shared" si="5"/>
        <v>1976.992</v>
      </c>
      <c r="B166" s="66">
        <f t="shared" si="6"/>
        <v>3</v>
      </c>
      <c r="C166" s="95">
        <v>48.008000000000003</v>
      </c>
      <c r="D166" s="68">
        <v>0.13902400000000001</v>
      </c>
    </row>
    <row r="167" spans="1:4" x14ac:dyDescent="0.25">
      <c r="A167" s="66">
        <f t="shared" si="5"/>
        <v>1976.778</v>
      </c>
      <c r="B167" s="66">
        <f t="shared" si="6"/>
        <v>3</v>
      </c>
      <c r="C167" s="95">
        <v>48.222000000000001</v>
      </c>
      <c r="D167" s="68">
        <v>0.139185</v>
      </c>
    </row>
    <row r="168" spans="1:4" x14ac:dyDescent="0.25">
      <c r="A168" s="66">
        <f t="shared" si="5"/>
        <v>1976.68</v>
      </c>
      <c r="B168" s="66">
        <f t="shared" si="6"/>
        <v>3</v>
      </c>
      <c r="C168" s="95">
        <v>48.32</v>
      </c>
      <c r="D168" s="68">
        <v>0.13902500000000001</v>
      </c>
    </row>
    <row r="169" spans="1:4" x14ac:dyDescent="0.25">
      <c r="A169" s="66">
        <f t="shared" si="5"/>
        <v>1976.6030000000001</v>
      </c>
      <c r="B169" s="66">
        <f t="shared" si="6"/>
        <v>3</v>
      </c>
      <c r="C169" s="95">
        <v>48.396999999999998</v>
      </c>
      <c r="D169" s="68">
        <v>0.139014</v>
      </c>
    </row>
    <row r="170" spans="1:4" x14ac:dyDescent="0.25">
      <c r="A170" s="66">
        <f t="shared" si="5"/>
        <v>1976.537</v>
      </c>
      <c r="B170" s="66">
        <f t="shared" si="6"/>
        <v>3</v>
      </c>
      <c r="C170" s="95">
        <v>48.463000000000001</v>
      </c>
      <c r="D170" s="68">
        <v>0.17621700000000001</v>
      </c>
    </row>
    <row r="171" spans="1:4" x14ac:dyDescent="0.25">
      <c r="A171" s="66">
        <f t="shared" si="5"/>
        <v>1976.4079999999999</v>
      </c>
      <c r="B171" s="66">
        <f t="shared" si="6"/>
        <v>3</v>
      </c>
      <c r="C171" s="95">
        <v>48.591999999999999</v>
      </c>
      <c r="D171" s="68">
        <v>0.17499400000000001</v>
      </c>
    </row>
    <row r="172" spans="1:4" x14ac:dyDescent="0.25">
      <c r="A172" s="66">
        <f t="shared" si="5"/>
        <v>1976.11</v>
      </c>
      <c r="B172" s="66">
        <f t="shared" si="6"/>
        <v>3</v>
      </c>
      <c r="C172" s="95">
        <v>48.89</v>
      </c>
      <c r="D172" s="68">
        <v>0.14089099999999999</v>
      </c>
    </row>
    <row r="173" spans="1:4" x14ac:dyDescent="0.25">
      <c r="A173" s="66">
        <f t="shared" si="5"/>
        <v>1976.069</v>
      </c>
      <c r="B173" s="66">
        <f t="shared" si="6"/>
        <v>3</v>
      </c>
      <c r="C173" s="95">
        <v>48.930999999999997</v>
      </c>
      <c r="D173" s="68">
        <v>0.13902900000000001</v>
      </c>
    </row>
    <row r="174" spans="1:4" x14ac:dyDescent="0.25">
      <c r="A174" s="66">
        <f t="shared" si="5"/>
        <v>1976.0640000000001</v>
      </c>
      <c r="B174" s="66">
        <f t="shared" si="6"/>
        <v>3</v>
      </c>
      <c r="C174" s="95">
        <v>48.936</v>
      </c>
      <c r="D174" s="68">
        <v>0.13914599999999999</v>
      </c>
    </row>
    <row r="175" spans="1:4" x14ac:dyDescent="0.25">
      <c r="A175" s="66">
        <f t="shared" si="5"/>
        <v>1975.9760000000001</v>
      </c>
      <c r="B175" s="66">
        <f t="shared" si="6"/>
        <v>3</v>
      </c>
      <c r="C175" s="95">
        <v>49.024000000000001</v>
      </c>
      <c r="D175" s="68">
        <v>0.13908999999999999</v>
      </c>
    </row>
    <row r="176" spans="1:4" x14ac:dyDescent="0.25">
      <c r="A176" s="66">
        <f t="shared" si="5"/>
        <v>1975.883</v>
      </c>
      <c r="B176" s="66">
        <f t="shared" si="6"/>
        <v>3</v>
      </c>
      <c r="C176" s="95">
        <v>49.116999999999997</v>
      </c>
      <c r="D176" s="68">
        <v>0.160749</v>
      </c>
    </row>
    <row r="177" spans="1:4" x14ac:dyDescent="0.25">
      <c r="A177" s="66">
        <f t="shared" si="5"/>
        <v>1975.5409999999999</v>
      </c>
      <c r="B177" s="66">
        <f t="shared" si="6"/>
        <v>3</v>
      </c>
      <c r="C177" s="95">
        <v>49.459000000000003</v>
      </c>
      <c r="D177" s="68">
        <v>0.139014</v>
      </c>
    </row>
    <row r="178" spans="1:4" x14ac:dyDescent="0.25">
      <c r="A178" s="66">
        <f t="shared" si="5"/>
        <v>1975.5160000000001</v>
      </c>
      <c r="B178" s="66">
        <f t="shared" si="6"/>
        <v>3</v>
      </c>
      <c r="C178" s="95">
        <v>49.484000000000002</v>
      </c>
      <c r="D178" s="68">
        <v>0.13966899999999999</v>
      </c>
    </row>
    <row r="179" spans="1:4" x14ac:dyDescent="0.25">
      <c r="A179" s="66">
        <f t="shared" si="5"/>
        <v>1975.4829999999999</v>
      </c>
      <c r="B179" s="66">
        <f t="shared" si="6"/>
        <v>3</v>
      </c>
      <c r="C179" s="95">
        <v>49.517000000000003</v>
      </c>
      <c r="D179" s="68">
        <v>0.152534</v>
      </c>
    </row>
    <row r="180" spans="1:4" x14ac:dyDescent="0.25">
      <c r="A180" s="66">
        <f t="shared" si="5"/>
        <v>1975.2090000000001</v>
      </c>
      <c r="B180" s="66">
        <f t="shared" si="6"/>
        <v>3</v>
      </c>
      <c r="C180" s="95">
        <v>49.790999999999997</v>
      </c>
      <c r="D180" s="68">
        <v>0.13902500000000001</v>
      </c>
    </row>
    <row r="181" spans="1:4" x14ac:dyDescent="0.25">
      <c r="A181" s="66">
        <f t="shared" si="5"/>
        <v>1975.2090000000001</v>
      </c>
      <c r="B181" s="66">
        <f t="shared" si="6"/>
        <v>3</v>
      </c>
      <c r="C181" s="95">
        <v>49.790999999999997</v>
      </c>
      <c r="D181" s="68">
        <v>0.13909299999999999</v>
      </c>
    </row>
    <row r="182" spans="1:4" x14ac:dyDescent="0.25">
      <c r="A182" s="66">
        <f t="shared" si="5"/>
        <v>1975.155</v>
      </c>
      <c r="B182" s="66">
        <f t="shared" si="6"/>
        <v>3</v>
      </c>
      <c r="C182" s="95">
        <v>49.844999999999999</v>
      </c>
      <c r="D182" s="68">
        <v>0.116725</v>
      </c>
    </row>
    <row r="183" spans="1:4" x14ac:dyDescent="0.25">
      <c r="A183" s="66">
        <f t="shared" si="5"/>
        <v>1975.04</v>
      </c>
      <c r="B183" s="66">
        <f t="shared" si="6"/>
        <v>3</v>
      </c>
      <c r="C183" s="95">
        <v>49.96</v>
      </c>
      <c r="D183" s="68">
        <v>0.13902300000000001</v>
      </c>
    </row>
    <row r="184" spans="1:4" x14ac:dyDescent="0.25">
      <c r="A184" s="66">
        <f t="shared" si="5"/>
        <v>1974.67</v>
      </c>
      <c r="B184" s="66">
        <f t="shared" si="6"/>
        <v>3</v>
      </c>
      <c r="C184" s="95">
        <v>50.33</v>
      </c>
      <c r="D184" s="68">
        <v>4.1939999999999998E-2</v>
      </c>
    </row>
    <row r="185" spans="1:4" x14ac:dyDescent="0.25">
      <c r="A185" s="66">
        <f t="shared" si="5"/>
        <v>1974.6289999999999</v>
      </c>
      <c r="B185" s="66">
        <f t="shared" si="6"/>
        <v>3</v>
      </c>
      <c r="C185" s="95">
        <v>50.371000000000002</v>
      </c>
      <c r="D185" s="68">
        <v>0.13905000000000001</v>
      </c>
    </row>
    <row r="186" spans="1:4" x14ac:dyDescent="0.25">
      <c r="A186" s="66">
        <f t="shared" si="5"/>
        <v>1974.098</v>
      </c>
      <c r="B186" s="66">
        <f t="shared" si="6"/>
        <v>3</v>
      </c>
      <c r="C186" s="95">
        <v>50.902000000000001</v>
      </c>
      <c r="D186" s="68">
        <v>0.13902700000000001</v>
      </c>
    </row>
    <row r="187" spans="1:4" x14ac:dyDescent="0.25">
      <c r="A187" s="66">
        <f t="shared" si="5"/>
        <v>1974.057</v>
      </c>
      <c r="B187" s="66">
        <f t="shared" si="6"/>
        <v>3</v>
      </c>
      <c r="C187" s="95">
        <v>50.942999999999998</v>
      </c>
      <c r="D187" s="68">
        <v>0.13902600000000001</v>
      </c>
    </row>
    <row r="188" spans="1:4" x14ac:dyDescent="0.25">
      <c r="A188" s="66">
        <f t="shared" si="5"/>
        <v>1973.9880000000001</v>
      </c>
      <c r="B188" s="66">
        <f t="shared" si="6"/>
        <v>3</v>
      </c>
      <c r="C188" s="95">
        <v>51.012</v>
      </c>
      <c r="D188" s="68">
        <v>0.13902700000000001</v>
      </c>
    </row>
    <row r="189" spans="1:4" x14ac:dyDescent="0.25">
      <c r="A189" s="66">
        <f t="shared" si="5"/>
        <v>1973.912</v>
      </c>
      <c r="B189" s="66">
        <f t="shared" si="6"/>
        <v>3</v>
      </c>
      <c r="C189" s="95">
        <v>51.088000000000001</v>
      </c>
      <c r="D189" s="68">
        <v>0.141315</v>
      </c>
    </row>
    <row r="190" spans="1:4" x14ac:dyDescent="0.25">
      <c r="A190" s="66">
        <f t="shared" si="5"/>
        <v>1973.8869999999999</v>
      </c>
      <c r="B190" s="66">
        <f t="shared" si="6"/>
        <v>3</v>
      </c>
      <c r="C190" s="95">
        <v>51.113</v>
      </c>
      <c r="D190" s="68">
        <v>0.171375</v>
      </c>
    </row>
    <row r="191" spans="1:4" x14ac:dyDescent="0.25">
      <c r="A191" s="66">
        <f t="shared" si="5"/>
        <v>1973.838</v>
      </c>
      <c r="B191" s="66">
        <f t="shared" si="6"/>
        <v>3</v>
      </c>
      <c r="C191" s="95">
        <v>51.161999999999999</v>
      </c>
      <c r="D191" s="68">
        <v>0.13902500000000001</v>
      </c>
    </row>
    <row r="192" spans="1:4" x14ac:dyDescent="0.25">
      <c r="A192" s="66">
        <f t="shared" si="5"/>
        <v>1973.777</v>
      </c>
      <c r="B192" s="66">
        <f t="shared" si="6"/>
        <v>3</v>
      </c>
      <c r="C192" s="95">
        <v>51.222999999999999</v>
      </c>
      <c r="D192" s="68">
        <v>0.139018</v>
      </c>
    </row>
    <row r="193" spans="1:4" x14ac:dyDescent="0.25">
      <c r="A193" s="66">
        <f t="shared" si="5"/>
        <v>1973.7750000000001</v>
      </c>
      <c r="B193" s="66">
        <f t="shared" si="6"/>
        <v>3</v>
      </c>
      <c r="C193" s="95">
        <v>51.225000000000001</v>
      </c>
      <c r="D193" s="68">
        <v>0.13902500000000001</v>
      </c>
    </row>
    <row r="194" spans="1:4" x14ac:dyDescent="0.25">
      <c r="A194" s="66">
        <f t="shared" si="5"/>
        <v>1973.761</v>
      </c>
      <c r="B194" s="66">
        <f t="shared" si="6"/>
        <v>3</v>
      </c>
      <c r="C194" s="95">
        <v>51.238999999999997</v>
      </c>
      <c r="D194" s="68">
        <v>0.175478</v>
      </c>
    </row>
    <row r="195" spans="1:4" x14ac:dyDescent="0.25">
      <c r="A195" s="66">
        <f t="shared" si="5"/>
        <v>1973.654</v>
      </c>
      <c r="B195" s="66">
        <f t="shared" si="6"/>
        <v>3</v>
      </c>
      <c r="C195" s="95">
        <v>51.345999999999997</v>
      </c>
      <c r="D195" s="68">
        <v>0.13902500000000001</v>
      </c>
    </row>
    <row r="196" spans="1:4" x14ac:dyDescent="0.25">
      <c r="A196" s="66">
        <f t="shared" si="5"/>
        <v>1973.452</v>
      </c>
      <c r="B196" s="66">
        <f t="shared" si="6"/>
        <v>3</v>
      </c>
      <c r="C196" s="95">
        <v>51.548000000000002</v>
      </c>
      <c r="D196" s="68">
        <v>0.13909299999999999</v>
      </c>
    </row>
    <row r="197" spans="1:4" x14ac:dyDescent="0.25">
      <c r="A197" s="66">
        <f t="shared" si="5"/>
        <v>1973.452</v>
      </c>
      <c r="B197" s="66">
        <f t="shared" si="6"/>
        <v>3</v>
      </c>
      <c r="C197" s="95">
        <v>51.548000000000002</v>
      </c>
      <c r="D197" s="68">
        <v>0.13903699999999999</v>
      </c>
    </row>
    <row r="198" spans="1:4" x14ac:dyDescent="0.25">
      <c r="A198" s="66">
        <f t="shared" si="5"/>
        <v>1973.115</v>
      </c>
      <c r="B198" s="66">
        <f t="shared" si="6"/>
        <v>3</v>
      </c>
      <c r="C198" s="95">
        <v>51.884999999999998</v>
      </c>
      <c r="D198" s="68">
        <v>0.139019</v>
      </c>
    </row>
    <row r="199" spans="1:4" x14ac:dyDescent="0.25">
      <c r="A199" s="66">
        <f t="shared" ref="A199:A262" si="7">2025-C199</f>
        <v>1972.9449999999999</v>
      </c>
      <c r="B199" s="66">
        <f t="shared" ref="B199:B262" si="8">MIN(6,MAX(0,INT(((C199+5)-20)/10)))</f>
        <v>3</v>
      </c>
      <c r="C199" s="95">
        <v>52.055</v>
      </c>
      <c r="D199" s="68">
        <v>0.13903699999999999</v>
      </c>
    </row>
    <row r="200" spans="1:4" x14ac:dyDescent="0.25">
      <c r="A200" s="66">
        <f t="shared" si="7"/>
        <v>1972.556</v>
      </c>
      <c r="B200" s="66">
        <f t="shared" si="8"/>
        <v>3</v>
      </c>
      <c r="C200" s="95">
        <v>52.444000000000003</v>
      </c>
      <c r="D200" s="68">
        <v>0.13902500000000001</v>
      </c>
    </row>
    <row r="201" spans="1:4" x14ac:dyDescent="0.25">
      <c r="A201" s="66">
        <f t="shared" si="7"/>
        <v>1972.2909999999999</v>
      </c>
      <c r="B201" s="66">
        <f t="shared" si="8"/>
        <v>3</v>
      </c>
      <c r="C201" s="95">
        <v>52.709000000000003</v>
      </c>
      <c r="D201" s="68">
        <v>0.13902500000000001</v>
      </c>
    </row>
    <row r="202" spans="1:4" x14ac:dyDescent="0.25">
      <c r="A202" s="66">
        <f t="shared" si="7"/>
        <v>1972.2550000000001</v>
      </c>
      <c r="B202" s="66">
        <f t="shared" si="8"/>
        <v>3</v>
      </c>
      <c r="C202" s="95">
        <v>52.744999999999997</v>
      </c>
      <c r="D202" s="68">
        <v>0.13902600000000001</v>
      </c>
    </row>
    <row r="203" spans="1:4" x14ac:dyDescent="0.25">
      <c r="A203" s="66">
        <f t="shared" si="7"/>
        <v>1971.88</v>
      </c>
      <c r="B203" s="66">
        <f t="shared" si="8"/>
        <v>3</v>
      </c>
      <c r="C203" s="95">
        <v>53.12</v>
      </c>
      <c r="D203" s="68">
        <v>0.14425499999999999</v>
      </c>
    </row>
    <row r="204" spans="1:4" x14ac:dyDescent="0.25">
      <c r="A204" s="66">
        <f t="shared" si="7"/>
        <v>1971.8389999999999</v>
      </c>
      <c r="B204" s="66">
        <f t="shared" si="8"/>
        <v>3</v>
      </c>
      <c r="C204" s="95">
        <v>53.161000000000001</v>
      </c>
      <c r="D204" s="68">
        <v>0.14938899999999999</v>
      </c>
    </row>
    <row r="205" spans="1:4" x14ac:dyDescent="0.25">
      <c r="A205" s="66">
        <f t="shared" si="7"/>
        <v>1971.7650000000001</v>
      </c>
      <c r="B205" s="66">
        <f t="shared" si="8"/>
        <v>3</v>
      </c>
      <c r="C205" s="95">
        <v>53.234999999999999</v>
      </c>
      <c r="D205" s="68">
        <v>0.12836600000000001</v>
      </c>
    </row>
    <row r="206" spans="1:4" x14ac:dyDescent="0.25">
      <c r="A206" s="66">
        <f t="shared" si="7"/>
        <v>1971.751</v>
      </c>
      <c r="B206" s="66">
        <f t="shared" si="8"/>
        <v>3</v>
      </c>
      <c r="C206" s="95">
        <v>53.249000000000002</v>
      </c>
      <c r="D206" s="68">
        <v>0.12836800000000001</v>
      </c>
    </row>
    <row r="207" spans="1:4" x14ac:dyDescent="0.25">
      <c r="A207" s="66">
        <f t="shared" si="7"/>
        <v>1971.664</v>
      </c>
      <c r="B207" s="66">
        <f t="shared" si="8"/>
        <v>3</v>
      </c>
      <c r="C207" s="95">
        <v>53.335999999999999</v>
      </c>
      <c r="D207" s="68">
        <v>0.12836600000000001</v>
      </c>
    </row>
    <row r="208" spans="1:4" x14ac:dyDescent="0.25">
      <c r="A208" s="66">
        <f t="shared" si="7"/>
        <v>1971.65</v>
      </c>
      <c r="B208" s="66">
        <f t="shared" si="8"/>
        <v>3</v>
      </c>
      <c r="C208" s="95">
        <v>53.35</v>
      </c>
      <c r="D208" s="68">
        <v>0.12836500000000001</v>
      </c>
    </row>
    <row r="209" spans="1:4" x14ac:dyDescent="0.25">
      <c r="A209" s="66">
        <f t="shared" si="7"/>
        <v>1971.2750000000001</v>
      </c>
      <c r="B209" s="66">
        <f t="shared" si="8"/>
        <v>3</v>
      </c>
      <c r="C209" s="95">
        <v>53.725000000000001</v>
      </c>
      <c r="D209" s="68">
        <v>0.128359</v>
      </c>
    </row>
    <row r="210" spans="1:4" x14ac:dyDescent="0.25">
      <c r="A210" s="66">
        <f t="shared" si="7"/>
        <v>1971.2090000000001</v>
      </c>
      <c r="B210" s="66">
        <f t="shared" si="8"/>
        <v>3</v>
      </c>
      <c r="C210" s="95">
        <v>53.790999999999997</v>
      </c>
      <c r="D210" s="68">
        <v>0.12836600000000001</v>
      </c>
    </row>
    <row r="211" spans="1:4" x14ac:dyDescent="0.25">
      <c r="A211" s="66">
        <f t="shared" si="7"/>
        <v>1971.143</v>
      </c>
      <c r="B211" s="66">
        <f t="shared" si="8"/>
        <v>3</v>
      </c>
      <c r="C211" s="95">
        <v>53.856999999999999</v>
      </c>
      <c r="D211" s="68">
        <v>0.12836600000000001</v>
      </c>
    </row>
    <row r="212" spans="1:4" x14ac:dyDescent="0.25">
      <c r="A212" s="66">
        <f t="shared" si="7"/>
        <v>1970.7329999999999</v>
      </c>
      <c r="B212" s="66">
        <f t="shared" si="8"/>
        <v>3</v>
      </c>
      <c r="C212" s="95">
        <v>54.267000000000003</v>
      </c>
      <c r="D212" s="68">
        <v>0.12836600000000001</v>
      </c>
    </row>
    <row r="213" spans="1:4" x14ac:dyDescent="0.25">
      <c r="A213" s="66">
        <f t="shared" si="7"/>
        <v>1970.4590000000001</v>
      </c>
      <c r="B213" s="66">
        <f t="shared" si="8"/>
        <v>3</v>
      </c>
      <c r="C213" s="95">
        <v>54.540999999999997</v>
      </c>
      <c r="D213" s="68">
        <v>0.15586800000000001</v>
      </c>
    </row>
    <row r="214" spans="1:4" x14ac:dyDescent="0.25">
      <c r="A214" s="66">
        <f t="shared" si="7"/>
        <v>1970.336</v>
      </c>
      <c r="B214" s="66">
        <f t="shared" si="8"/>
        <v>3</v>
      </c>
      <c r="C214" s="95">
        <v>54.664000000000001</v>
      </c>
      <c r="D214" s="68">
        <v>0.12839900000000001</v>
      </c>
    </row>
    <row r="215" spans="1:4" x14ac:dyDescent="0.25">
      <c r="A215" s="66">
        <f t="shared" si="7"/>
        <v>1970.1030000000001</v>
      </c>
      <c r="B215" s="66">
        <f t="shared" si="8"/>
        <v>3</v>
      </c>
      <c r="C215" s="95">
        <v>54.896999999999998</v>
      </c>
      <c r="D215" s="68">
        <v>0.128357</v>
      </c>
    </row>
    <row r="216" spans="1:4" x14ac:dyDescent="0.25">
      <c r="A216" s="66">
        <f t="shared" si="7"/>
        <v>1970.0150000000001</v>
      </c>
      <c r="B216" s="66">
        <f t="shared" si="8"/>
        <v>3</v>
      </c>
      <c r="C216" s="96">
        <v>54.984999999999999</v>
      </c>
      <c r="D216" s="68">
        <v>0.12837100000000001</v>
      </c>
    </row>
    <row r="217" spans="1:4" x14ac:dyDescent="0.25">
      <c r="A217" s="66">
        <f t="shared" si="7"/>
        <v>1969.829</v>
      </c>
      <c r="B217" s="66">
        <f t="shared" si="8"/>
        <v>4</v>
      </c>
      <c r="C217" s="96">
        <v>55.170999999999999</v>
      </c>
      <c r="D217" s="68">
        <v>0.128355</v>
      </c>
    </row>
    <row r="218" spans="1:4" x14ac:dyDescent="0.25">
      <c r="A218" s="66">
        <f t="shared" si="7"/>
        <v>1969.7660000000001</v>
      </c>
      <c r="B218" s="66">
        <f t="shared" si="8"/>
        <v>4</v>
      </c>
      <c r="C218" s="96">
        <v>55.234000000000002</v>
      </c>
      <c r="D218" s="68">
        <v>0.109143</v>
      </c>
    </row>
    <row r="219" spans="1:4" x14ac:dyDescent="0.25">
      <c r="A219" s="66">
        <f t="shared" si="7"/>
        <v>1969.41</v>
      </c>
      <c r="B219" s="66">
        <f t="shared" si="8"/>
        <v>4</v>
      </c>
      <c r="C219" s="96">
        <v>55.59</v>
      </c>
      <c r="D219" s="68">
        <v>0.12836600000000001</v>
      </c>
    </row>
    <row r="220" spans="1:4" x14ac:dyDescent="0.25">
      <c r="A220" s="66">
        <f t="shared" si="7"/>
        <v>1968.2170000000001</v>
      </c>
      <c r="B220" s="66">
        <f t="shared" si="8"/>
        <v>4</v>
      </c>
      <c r="C220" s="96">
        <v>56.783000000000001</v>
      </c>
      <c r="D220" s="68">
        <v>0.12836600000000001</v>
      </c>
    </row>
    <row r="221" spans="1:4" x14ac:dyDescent="0.25">
      <c r="A221" s="66">
        <f t="shared" si="7"/>
        <v>1968.0519999999999</v>
      </c>
      <c r="B221" s="66">
        <f t="shared" si="8"/>
        <v>4</v>
      </c>
      <c r="C221" s="96">
        <v>56.948</v>
      </c>
      <c r="D221" s="68">
        <v>0.128329</v>
      </c>
    </row>
    <row r="222" spans="1:4" x14ac:dyDescent="0.25">
      <c r="A222" s="66">
        <f t="shared" si="7"/>
        <v>1967.7729999999999</v>
      </c>
      <c r="B222" s="66">
        <f t="shared" si="8"/>
        <v>4</v>
      </c>
      <c r="C222" s="96">
        <v>57.226999999999997</v>
      </c>
      <c r="D222" s="68">
        <v>0.12831699999999999</v>
      </c>
    </row>
    <row r="223" spans="1:4" x14ac:dyDescent="0.25">
      <c r="A223" s="66">
        <f t="shared" si="7"/>
        <v>1967.431</v>
      </c>
      <c r="B223" s="66">
        <f t="shared" si="8"/>
        <v>4</v>
      </c>
      <c r="C223" s="96">
        <v>57.569000000000003</v>
      </c>
      <c r="D223" s="68">
        <v>0.12836800000000001</v>
      </c>
    </row>
    <row r="224" spans="1:4" x14ac:dyDescent="0.25">
      <c r="A224" s="66">
        <f t="shared" si="7"/>
        <v>1967.354</v>
      </c>
      <c r="B224" s="66">
        <f t="shared" si="8"/>
        <v>4</v>
      </c>
      <c r="C224" s="96">
        <v>57.646000000000001</v>
      </c>
      <c r="D224" s="68">
        <v>0.128387</v>
      </c>
    </row>
    <row r="225" spans="1:4" x14ac:dyDescent="0.25">
      <c r="A225" s="66">
        <f t="shared" si="7"/>
        <v>1967.212</v>
      </c>
      <c r="B225" s="66">
        <f t="shared" si="8"/>
        <v>4</v>
      </c>
      <c r="C225" s="96">
        <v>57.787999999999997</v>
      </c>
      <c r="D225" s="68">
        <v>0.16297500000000001</v>
      </c>
    </row>
    <row r="226" spans="1:4" x14ac:dyDescent="0.25">
      <c r="A226" s="66">
        <f t="shared" si="7"/>
        <v>1967.154</v>
      </c>
      <c r="B226" s="66">
        <f t="shared" si="8"/>
        <v>4</v>
      </c>
      <c r="C226" s="96">
        <v>57.845999999999997</v>
      </c>
      <c r="D226" s="68">
        <v>0.134935</v>
      </c>
    </row>
    <row r="227" spans="1:4" x14ac:dyDescent="0.25">
      <c r="A227" s="66">
        <f t="shared" si="7"/>
        <v>1967.1489999999999</v>
      </c>
      <c r="B227" s="66">
        <f t="shared" si="8"/>
        <v>4</v>
      </c>
      <c r="C227" s="96">
        <v>57.850999999999999</v>
      </c>
      <c r="D227" s="68">
        <v>0.116969</v>
      </c>
    </row>
    <row r="228" spans="1:4" x14ac:dyDescent="0.25">
      <c r="A228" s="66">
        <f t="shared" si="7"/>
        <v>1966.809</v>
      </c>
      <c r="B228" s="66">
        <f t="shared" si="8"/>
        <v>4</v>
      </c>
      <c r="C228" s="96">
        <v>58.191000000000003</v>
      </c>
      <c r="D228" s="68">
        <v>8.7357000000000004E-2</v>
      </c>
    </row>
    <row r="229" spans="1:4" x14ac:dyDescent="0.25">
      <c r="A229" s="66">
        <f t="shared" si="7"/>
        <v>1966.6310000000001</v>
      </c>
      <c r="B229" s="66">
        <f t="shared" si="8"/>
        <v>4</v>
      </c>
      <c r="C229" s="96">
        <v>58.369</v>
      </c>
      <c r="D229" s="68">
        <v>0.116968</v>
      </c>
    </row>
    <row r="230" spans="1:4" x14ac:dyDescent="0.25">
      <c r="A230" s="66">
        <f t="shared" si="7"/>
        <v>1966.568</v>
      </c>
      <c r="B230" s="66">
        <f t="shared" si="8"/>
        <v>4</v>
      </c>
      <c r="C230" s="96">
        <v>58.432000000000002</v>
      </c>
      <c r="D230" s="68">
        <v>0.116963</v>
      </c>
    </row>
    <row r="231" spans="1:4" x14ac:dyDescent="0.25">
      <c r="A231" s="66">
        <f t="shared" si="7"/>
        <v>1965.98</v>
      </c>
      <c r="B231" s="66">
        <f t="shared" si="8"/>
        <v>4</v>
      </c>
      <c r="C231" s="96">
        <v>59.02</v>
      </c>
      <c r="D231" s="68">
        <v>0.11697100000000001</v>
      </c>
    </row>
    <row r="232" spans="1:4" x14ac:dyDescent="0.25">
      <c r="A232" s="66">
        <f t="shared" si="7"/>
        <v>1965.848</v>
      </c>
      <c r="B232" s="66">
        <f t="shared" si="8"/>
        <v>4</v>
      </c>
      <c r="C232" s="96">
        <v>59.152000000000001</v>
      </c>
      <c r="D232" s="68">
        <v>0.117044</v>
      </c>
    </row>
    <row r="233" spans="1:4" x14ac:dyDescent="0.25">
      <c r="A233" s="66">
        <f t="shared" si="7"/>
        <v>1965.8130000000001</v>
      </c>
      <c r="B233" s="66">
        <f t="shared" si="8"/>
        <v>4</v>
      </c>
      <c r="C233" s="96">
        <v>59.186999999999998</v>
      </c>
      <c r="D233" s="68">
        <v>0.169236</v>
      </c>
    </row>
    <row r="234" spans="1:4" x14ac:dyDescent="0.25">
      <c r="A234" s="66">
        <f t="shared" si="7"/>
        <v>1965.6980000000001</v>
      </c>
      <c r="B234" s="66">
        <f t="shared" si="8"/>
        <v>4</v>
      </c>
      <c r="C234" s="96">
        <v>59.302</v>
      </c>
      <c r="D234" s="68">
        <v>0.11698</v>
      </c>
    </row>
    <row r="235" spans="1:4" x14ac:dyDescent="0.25">
      <c r="A235" s="66">
        <f t="shared" si="7"/>
        <v>1965.6289999999999</v>
      </c>
      <c r="B235" s="66">
        <f t="shared" si="8"/>
        <v>4</v>
      </c>
      <c r="C235" s="96">
        <v>59.371000000000002</v>
      </c>
      <c r="D235" s="68">
        <v>0.140101</v>
      </c>
    </row>
    <row r="236" spans="1:4" x14ac:dyDescent="0.25">
      <c r="A236" s="66">
        <f t="shared" si="7"/>
        <v>1965.019</v>
      </c>
      <c r="B236" s="66">
        <f t="shared" si="8"/>
        <v>4</v>
      </c>
      <c r="C236" s="96">
        <v>59.981000000000002</v>
      </c>
      <c r="D236" s="68">
        <v>0.116969</v>
      </c>
    </row>
    <row r="237" spans="1:4" x14ac:dyDescent="0.25">
      <c r="A237" s="66">
        <f t="shared" si="7"/>
        <v>1964.9939999999999</v>
      </c>
      <c r="B237" s="66">
        <f t="shared" si="8"/>
        <v>4</v>
      </c>
      <c r="C237" s="96">
        <v>60.006</v>
      </c>
      <c r="D237" s="68">
        <v>0.11697</v>
      </c>
    </row>
    <row r="238" spans="1:4" x14ac:dyDescent="0.25">
      <c r="A238" s="66">
        <f t="shared" si="7"/>
        <v>1964.989</v>
      </c>
      <c r="B238" s="66">
        <f t="shared" si="8"/>
        <v>4</v>
      </c>
      <c r="C238" s="96">
        <v>60.011000000000003</v>
      </c>
      <c r="D238" s="68">
        <v>0.17252600000000001</v>
      </c>
    </row>
    <row r="239" spans="1:4" x14ac:dyDescent="0.25">
      <c r="A239" s="66">
        <f t="shared" si="7"/>
        <v>1964.8679999999999</v>
      </c>
      <c r="B239" s="66">
        <f t="shared" si="8"/>
        <v>4</v>
      </c>
      <c r="C239" s="96">
        <v>60.131999999999998</v>
      </c>
      <c r="D239" s="68">
        <v>0.121285</v>
      </c>
    </row>
    <row r="240" spans="1:4" x14ac:dyDescent="0.25">
      <c r="A240" s="66">
        <f t="shared" si="7"/>
        <v>1964.827</v>
      </c>
      <c r="B240" s="66">
        <f t="shared" si="8"/>
        <v>4</v>
      </c>
      <c r="C240" s="96">
        <v>60.173000000000002</v>
      </c>
      <c r="D240" s="68">
        <v>0.17106399999999999</v>
      </c>
    </row>
    <row r="241" spans="1:4" x14ac:dyDescent="0.25">
      <c r="A241" s="66">
        <f t="shared" si="7"/>
        <v>1964.8240000000001</v>
      </c>
      <c r="B241" s="66">
        <f t="shared" si="8"/>
        <v>4</v>
      </c>
      <c r="C241" s="96">
        <v>60.176000000000002</v>
      </c>
      <c r="D241" s="68">
        <v>0.17555399999999999</v>
      </c>
    </row>
    <row r="242" spans="1:4" x14ac:dyDescent="0.25">
      <c r="A242" s="66">
        <f t="shared" si="7"/>
        <v>1964.819</v>
      </c>
      <c r="B242" s="66">
        <f t="shared" si="8"/>
        <v>4</v>
      </c>
      <c r="C242" s="96">
        <v>60.180999999999997</v>
      </c>
      <c r="D242" s="68">
        <v>0.116965</v>
      </c>
    </row>
    <row r="243" spans="1:4" x14ac:dyDescent="0.25">
      <c r="A243" s="66">
        <f t="shared" si="7"/>
        <v>1964.8109999999999</v>
      </c>
      <c r="B243" s="66">
        <f t="shared" si="8"/>
        <v>4</v>
      </c>
      <c r="C243" s="96">
        <v>60.189</v>
      </c>
      <c r="D243" s="68">
        <v>0.116967</v>
      </c>
    </row>
    <row r="244" spans="1:4" x14ac:dyDescent="0.25">
      <c r="A244" s="66">
        <f t="shared" si="7"/>
        <v>1964.425</v>
      </c>
      <c r="B244" s="66">
        <f t="shared" si="8"/>
        <v>4</v>
      </c>
      <c r="C244" s="96">
        <v>60.575000000000003</v>
      </c>
      <c r="D244" s="68">
        <v>0.11697100000000001</v>
      </c>
    </row>
    <row r="245" spans="1:4" x14ac:dyDescent="0.25">
      <c r="A245" s="66">
        <f t="shared" si="7"/>
        <v>1964.2629999999999</v>
      </c>
      <c r="B245" s="66">
        <f t="shared" si="8"/>
        <v>4</v>
      </c>
      <c r="C245" s="96">
        <v>60.737000000000002</v>
      </c>
      <c r="D245" s="68">
        <v>0.11697</v>
      </c>
    </row>
    <row r="246" spans="1:4" x14ac:dyDescent="0.25">
      <c r="A246" s="66">
        <f t="shared" si="7"/>
        <v>1964.2059999999999</v>
      </c>
      <c r="B246" s="66">
        <f t="shared" si="8"/>
        <v>4</v>
      </c>
      <c r="C246" s="96">
        <v>60.793999999999997</v>
      </c>
      <c r="D246" s="68">
        <v>-6.1901999999999999E-2</v>
      </c>
    </row>
    <row r="247" spans="1:4" x14ac:dyDescent="0.25">
      <c r="A247" s="66">
        <f t="shared" si="7"/>
        <v>1964.1179999999999</v>
      </c>
      <c r="B247" s="66">
        <f t="shared" si="8"/>
        <v>4</v>
      </c>
      <c r="C247" s="96">
        <v>60.881999999999998</v>
      </c>
      <c r="D247" s="68">
        <v>0.116967</v>
      </c>
    </row>
    <row r="248" spans="1:4" x14ac:dyDescent="0.25">
      <c r="A248" s="66">
        <f t="shared" si="7"/>
        <v>1963.9559999999999</v>
      </c>
      <c r="B248" s="66">
        <f t="shared" si="8"/>
        <v>4</v>
      </c>
      <c r="C248" s="96">
        <v>61.043999999999997</v>
      </c>
      <c r="D248" s="68">
        <v>0.11691500000000001</v>
      </c>
    </row>
    <row r="249" spans="1:4" x14ac:dyDescent="0.25">
      <c r="A249" s="66">
        <f t="shared" si="7"/>
        <v>1963.5619999999999</v>
      </c>
      <c r="B249" s="66">
        <f t="shared" si="8"/>
        <v>4</v>
      </c>
      <c r="C249" s="96">
        <v>61.438000000000002</v>
      </c>
      <c r="D249" s="68">
        <v>0.158633</v>
      </c>
    </row>
    <row r="250" spans="1:4" x14ac:dyDescent="0.25">
      <c r="A250" s="66">
        <f t="shared" si="7"/>
        <v>1963.258</v>
      </c>
      <c r="B250" s="66">
        <f t="shared" si="8"/>
        <v>4</v>
      </c>
      <c r="C250" s="96">
        <v>61.741999999999997</v>
      </c>
      <c r="D250" s="68">
        <v>0.140902</v>
      </c>
    </row>
    <row r="251" spans="1:4" x14ac:dyDescent="0.25">
      <c r="A251" s="66">
        <f t="shared" si="7"/>
        <v>1963.2529999999999</v>
      </c>
      <c r="B251" s="66">
        <f t="shared" si="8"/>
        <v>4</v>
      </c>
      <c r="C251" s="96">
        <v>61.747</v>
      </c>
      <c r="D251" s="68">
        <v>0.148114</v>
      </c>
    </row>
    <row r="252" spans="1:4" x14ac:dyDescent="0.25">
      <c r="A252" s="66">
        <f t="shared" si="7"/>
        <v>1962.932</v>
      </c>
      <c r="B252" s="66">
        <f t="shared" si="8"/>
        <v>4</v>
      </c>
      <c r="C252" s="96">
        <v>62.067999999999998</v>
      </c>
      <c r="D252" s="68">
        <v>0.116956</v>
      </c>
    </row>
    <row r="253" spans="1:4" x14ac:dyDescent="0.25">
      <c r="A253" s="66">
        <f t="shared" si="7"/>
        <v>1962.393</v>
      </c>
      <c r="B253" s="66">
        <f t="shared" si="8"/>
        <v>4</v>
      </c>
      <c r="C253" s="96">
        <v>62.606999999999999</v>
      </c>
      <c r="D253" s="68">
        <v>0.112857</v>
      </c>
    </row>
    <row r="254" spans="1:4" x14ac:dyDescent="0.25">
      <c r="A254" s="66">
        <f t="shared" si="7"/>
        <v>1962.325</v>
      </c>
      <c r="B254" s="66">
        <f t="shared" si="8"/>
        <v>4</v>
      </c>
      <c r="C254" s="96">
        <v>62.674999999999997</v>
      </c>
      <c r="D254" s="68">
        <v>0.116968</v>
      </c>
    </row>
    <row r="255" spans="1:4" x14ac:dyDescent="0.25">
      <c r="A255" s="66">
        <f t="shared" si="7"/>
        <v>1962.163</v>
      </c>
      <c r="B255" s="66">
        <f t="shared" si="8"/>
        <v>4</v>
      </c>
      <c r="C255" s="96">
        <v>62.837000000000003</v>
      </c>
      <c r="D255" s="68">
        <v>0.105166</v>
      </c>
    </row>
    <row r="256" spans="1:4" x14ac:dyDescent="0.25">
      <c r="A256" s="66">
        <f t="shared" si="7"/>
        <v>1962.144</v>
      </c>
      <c r="B256" s="66">
        <f t="shared" si="8"/>
        <v>4</v>
      </c>
      <c r="C256" s="96">
        <v>62.856000000000002</v>
      </c>
      <c r="D256" s="68">
        <v>0.105173</v>
      </c>
    </row>
    <row r="257" spans="1:4" x14ac:dyDescent="0.25">
      <c r="A257" s="66">
        <f t="shared" si="7"/>
        <v>1961.895</v>
      </c>
      <c r="B257" s="66">
        <f t="shared" si="8"/>
        <v>4</v>
      </c>
      <c r="C257" s="96">
        <v>63.104999999999997</v>
      </c>
      <c r="D257" s="68">
        <v>0.17050399999999999</v>
      </c>
    </row>
    <row r="258" spans="1:4" x14ac:dyDescent="0.25">
      <c r="A258" s="66">
        <f t="shared" si="7"/>
        <v>1961.8869999999999</v>
      </c>
      <c r="B258" s="66">
        <f t="shared" si="8"/>
        <v>4</v>
      </c>
      <c r="C258" s="96">
        <v>63.113</v>
      </c>
      <c r="D258" s="68">
        <v>0.105173</v>
      </c>
    </row>
    <row r="259" spans="1:4" x14ac:dyDescent="0.25">
      <c r="A259" s="66">
        <f t="shared" si="7"/>
        <v>1961.873</v>
      </c>
      <c r="B259" s="66">
        <f t="shared" si="8"/>
        <v>4</v>
      </c>
      <c r="C259" s="96">
        <v>63.127000000000002</v>
      </c>
      <c r="D259" s="68">
        <v>0.170511</v>
      </c>
    </row>
    <row r="260" spans="1:4" x14ac:dyDescent="0.25">
      <c r="A260" s="66">
        <f t="shared" si="7"/>
        <v>1961.8320000000001</v>
      </c>
      <c r="B260" s="66">
        <f t="shared" si="8"/>
        <v>4</v>
      </c>
      <c r="C260" s="96">
        <v>63.167999999999999</v>
      </c>
      <c r="D260" s="68">
        <v>0.11697</v>
      </c>
    </row>
    <row r="261" spans="1:4" x14ac:dyDescent="0.25">
      <c r="A261" s="66">
        <f t="shared" si="7"/>
        <v>1961.7829999999999</v>
      </c>
      <c r="B261" s="66">
        <f t="shared" si="8"/>
        <v>4</v>
      </c>
      <c r="C261" s="96">
        <v>63.216999999999999</v>
      </c>
      <c r="D261" s="68">
        <v>0.105171</v>
      </c>
    </row>
    <row r="262" spans="1:4" x14ac:dyDescent="0.25">
      <c r="A262" s="66">
        <f t="shared" si="7"/>
        <v>1961.481</v>
      </c>
      <c r="B262" s="66">
        <f t="shared" si="8"/>
        <v>4</v>
      </c>
      <c r="C262" s="96">
        <v>63.518999999999998</v>
      </c>
      <c r="D262" s="68">
        <v>0.105171</v>
      </c>
    </row>
    <row r="263" spans="1:4" x14ac:dyDescent="0.25">
      <c r="A263" s="66">
        <f t="shared" ref="A263:A291" si="9">2025-C263</f>
        <v>1961.1279999999999</v>
      </c>
      <c r="B263" s="66">
        <f t="shared" ref="B263:B291" si="10">MIN(6,MAX(0,INT(((C263+5)-20)/10)))</f>
        <v>4</v>
      </c>
      <c r="C263" s="96">
        <v>63.872</v>
      </c>
      <c r="D263" s="68">
        <v>0.112391</v>
      </c>
    </row>
    <row r="264" spans="1:4" x14ac:dyDescent="0.25">
      <c r="A264" s="66">
        <f t="shared" si="9"/>
        <v>1960.6189999999999</v>
      </c>
      <c r="B264" s="66">
        <f t="shared" si="10"/>
        <v>4</v>
      </c>
      <c r="C264" s="96">
        <v>64.381</v>
      </c>
      <c r="D264" s="68">
        <v>0.105166</v>
      </c>
    </row>
    <row r="265" spans="1:4" x14ac:dyDescent="0.25">
      <c r="A265" s="66">
        <f t="shared" si="9"/>
        <v>1960.57</v>
      </c>
      <c r="B265" s="66">
        <f t="shared" si="10"/>
        <v>4</v>
      </c>
      <c r="C265" s="96">
        <v>64.430000000000007</v>
      </c>
      <c r="D265" s="68">
        <v>0.105171</v>
      </c>
    </row>
    <row r="266" spans="1:4" x14ac:dyDescent="0.25">
      <c r="A266" s="66">
        <f t="shared" si="9"/>
        <v>1960.1669999999999</v>
      </c>
      <c r="B266" s="66">
        <f t="shared" si="10"/>
        <v>4</v>
      </c>
      <c r="C266" s="96">
        <v>64.832999999999998</v>
      </c>
      <c r="D266" s="68">
        <v>7.4555999999999997E-2</v>
      </c>
    </row>
    <row r="267" spans="1:4" x14ac:dyDescent="0.25">
      <c r="A267" s="66">
        <f t="shared" si="9"/>
        <v>1959.951</v>
      </c>
      <c r="B267" s="66">
        <f t="shared" si="10"/>
        <v>5</v>
      </c>
      <c r="C267" s="97">
        <v>65.049000000000007</v>
      </c>
      <c r="D267" s="68">
        <v>0.105171</v>
      </c>
    </row>
    <row r="268" spans="1:4" x14ac:dyDescent="0.25">
      <c r="A268" s="66">
        <f t="shared" si="9"/>
        <v>1959.663</v>
      </c>
      <c r="B268" s="66">
        <f t="shared" si="10"/>
        <v>5</v>
      </c>
      <c r="C268" s="97">
        <v>65.337000000000003</v>
      </c>
      <c r="D268" s="68">
        <v>0.10517</v>
      </c>
    </row>
    <row r="269" spans="1:4" x14ac:dyDescent="0.25">
      <c r="A269" s="66">
        <f t="shared" si="9"/>
        <v>1959.5809999999999</v>
      </c>
      <c r="B269" s="66">
        <f t="shared" si="10"/>
        <v>5</v>
      </c>
      <c r="C269" s="97">
        <v>65.418999999999997</v>
      </c>
      <c r="D269" s="68">
        <v>0.105171</v>
      </c>
    </row>
    <row r="270" spans="1:4" x14ac:dyDescent="0.25">
      <c r="A270" s="66">
        <f t="shared" si="9"/>
        <v>1959.395</v>
      </c>
      <c r="B270" s="66">
        <f t="shared" si="10"/>
        <v>5</v>
      </c>
      <c r="C270" s="97">
        <v>65.605000000000004</v>
      </c>
      <c r="D270" s="68">
        <v>0.10517</v>
      </c>
    </row>
    <row r="271" spans="1:4" x14ac:dyDescent="0.25">
      <c r="A271" s="66">
        <f t="shared" si="9"/>
        <v>1959.201</v>
      </c>
      <c r="B271" s="66">
        <f t="shared" si="10"/>
        <v>5</v>
      </c>
      <c r="C271" s="97">
        <v>65.799000000000007</v>
      </c>
      <c r="D271" s="68">
        <v>0.105169</v>
      </c>
    </row>
    <row r="272" spans="1:4" x14ac:dyDescent="0.25">
      <c r="A272" s="66">
        <f t="shared" si="9"/>
        <v>1959.1130000000001</v>
      </c>
      <c r="B272" s="66">
        <f t="shared" si="10"/>
        <v>5</v>
      </c>
      <c r="C272" s="97">
        <v>65.887</v>
      </c>
      <c r="D272" s="68">
        <v>0.174959</v>
      </c>
    </row>
    <row r="273" spans="1:4" x14ac:dyDescent="0.25">
      <c r="A273" s="66">
        <f t="shared" si="9"/>
        <v>1959.0609999999999</v>
      </c>
      <c r="B273" s="66">
        <f t="shared" si="10"/>
        <v>5</v>
      </c>
      <c r="C273" s="97">
        <v>65.938999999999993</v>
      </c>
      <c r="D273" s="68">
        <v>0.115951</v>
      </c>
    </row>
    <row r="274" spans="1:4" x14ac:dyDescent="0.25">
      <c r="A274" s="66">
        <f t="shared" si="9"/>
        <v>1958.8119999999999</v>
      </c>
      <c r="B274" s="66">
        <f t="shared" si="10"/>
        <v>5</v>
      </c>
      <c r="C274" s="97">
        <v>66.188000000000002</v>
      </c>
      <c r="D274" s="68">
        <v>0.105171</v>
      </c>
    </row>
    <row r="275" spans="1:4" x14ac:dyDescent="0.25">
      <c r="A275" s="66">
        <f t="shared" si="9"/>
        <v>1958.3140000000001</v>
      </c>
      <c r="B275" s="66">
        <f t="shared" si="10"/>
        <v>5</v>
      </c>
      <c r="C275" s="97">
        <v>66.686000000000007</v>
      </c>
      <c r="D275" s="68">
        <v>0.105173</v>
      </c>
    </row>
    <row r="276" spans="1:4" x14ac:dyDescent="0.25">
      <c r="A276" s="66">
        <f t="shared" si="9"/>
        <v>1958.2260000000001</v>
      </c>
      <c r="B276" s="66">
        <f t="shared" si="10"/>
        <v>5</v>
      </c>
      <c r="C276" s="97">
        <v>66.774000000000001</v>
      </c>
      <c r="D276" s="68">
        <v>0.105171</v>
      </c>
    </row>
    <row r="277" spans="1:4" x14ac:dyDescent="0.25">
      <c r="A277" s="66">
        <f t="shared" si="9"/>
        <v>1957.9390000000001</v>
      </c>
      <c r="B277" s="66">
        <f t="shared" si="10"/>
        <v>5</v>
      </c>
      <c r="C277" s="97">
        <v>67.061000000000007</v>
      </c>
      <c r="D277" s="68">
        <v>3.9326E-2</v>
      </c>
    </row>
    <row r="278" spans="1:4" x14ac:dyDescent="0.25">
      <c r="A278" s="66">
        <f t="shared" si="9"/>
        <v>1957.884</v>
      </c>
      <c r="B278" s="66">
        <f t="shared" si="10"/>
        <v>5</v>
      </c>
      <c r="C278" s="97">
        <v>67.116</v>
      </c>
      <c r="D278" s="68">
        <v>0.105171</v>
      </c>
    </row>
    <row r="279" spans="1:4" x14ac:dyDescent="0.25">
      <c r="A279" s="66">
        <f t="shared" si="9"/>
        <v>1957.7139999999999</v>
      </c>
      <c r="B279" s="66">
        <f t="shared" si="10"/>
        <v>5</v>
      </c>
      <c r="C279" s="97">
        <v>67.286000000000001</v>
      </c>
      <c r="D279" s="68">
        <v>0.10517</v>
      </c>
    </row>
    <row r="280" spans="1:4" x14ac:dyDescent="0.25">
      <c r="A280" s="66">
        <f t="shared" si="9"/>
        <v>1957.5029999999999</v>
      </c>
      <c r="B280" s="66">
        <f t="shared" si="10"/>
        <v>5</v>
      </c>
      <c r="C280" s="97">
        <v>67.497</v>
      </c>
      <c r="D280" s="68">
        <v>0.12936400000000001</v>
      </c>
    </row>
    <row r="281" spans="1:4" x14ac:dyDescent="0.25">
      <c r="A281" s="66">
        <f t="shared" si="9"/>
        <v>1957.4839999999999</v>
      </c>
      <c r="B281" s="66">
        <f t="shared" si="10"/>
        <v>5</v>
      </c>
      <c r="C281" s="97">
        <v>67.516000000000005</v>
      </c>
      <c r="D281" s="68">
        <v>0.105171</v>
      </c>
    </row>
    <row r="282" spans="1:4" x14ac:dyDescent="0.25">
      <c r="A282" s="66">
        <f t="shared" si="9"/>
        <v>1957.098</v>
      </c>
      <c r="B282" s="66">
        <f t="shared" si="10"/>
        <v>5</v>
      </c>
      <c r="C282" s="97">
        <v>67.902000000000001</v>
      </c>
      <c r="D282" s="68">
        <v>0.17046600000000001</v>
      </c>
    </row>
    <row r="283" spans="1:4" x14ac:dyDescent="0.25">
      <c r="A283" s="66">
        <f t="shared" si="9"/>
        <v>1956.972</v>
      </c>
      <c r="B283" s="66">
        <f t="shared" si="10"/>
        <v>5</v>
      </c>
      <c r="C283" s="97">
        <v>68.028000000000006</v>
      </c>
      <c r="D283" s="68">
        <v>8.5891999999999996E-2</v>
      </c>
    </row>
    <row r="284" spans="1:4" x14ac:dyDescent="0.25">
      <c r="A284" s="66">
        <f t="shared" si="9"/>
        <v>1956.712</v>
      </c>
      <c r="B284" s="66">
        <f t="shared" si="10"/>
        <v>5</v>
      </c>
      <c r="C284" s="97">
        <v>68.287999999999997</v>
      </c>
      <c r="D284" s="68">
        <v>0.173427</v>
      </c>
    </row>
    <row r="285" spans="1:4" x14ac:dyDescent="0.25">
      <c r="A285" s="66">
        <f t="shared" si="9"/>
        <v>1956.663</v>
      </c>
      <c r="B285" s="66">
        <f t="shared" si="10"/>
        <v>5</v>
      </c>
      <c r="C285" s="97">
        <v>68.337000000000003</v>
      </c>
      <c r="D285" s="68">
        <v>8.5885000000000003E-2</v>
      </c>
    </row>
    <row r="286" spans="1:4" x14ac:dyDescent="0.25">
      <c r="A286" s="66">
        <f t="shared" si="9"/>
        <v>1956.5920000000001</v>
      </c>
      <c r="B286" s="66">
        <f t="shared" si="10"/>
        <v>5</v>
      </c>
      <c r="C286" s="97">
        <v>68.408000000000001</v>
      </c>
      <c r="D286" s="68">
        <v>0.146619</v>
      </c>
    </row>
    <row r="287" spans="1:4" x14ac:dyDescent="0.25">
      <c r="A287" s="66">
        <f t="shared" si="9"/>
        <v>1956.1179999999999</v>
      </c>
      <c r="B287" s="66">
        <f t="shared" si="10"/>
        <v>5</v>
      </c>
      <c r="C287" s="97">
        <v>68.882000000000005</v>
      </c>
      <c r="D287" s="68">
        <v>8.5890999999999995E-2</v>
      </c>
    </row>
    <row r="288" spans="1:4" x14ac:dyDescent="0.25">
      <c r="A288" s="66">
        <f t="shared" si="9"/>
        <v>1954.7429999999999</v>
      </c>
      <c r="B288" s="66">
        <f t="shared" si="10"/>
        <v>5</v>
      </c>
      <c r="C288" s="97">
        <v>70.257000000000005</v>
      </c>
      <c r="D288" s="68">
        <v>8.5887000000000005E-2</v>
      </c>
    </row>
    <row r="289" spans="1:4" x14ac:dyDescent="0.25">
      <c r="A289" s="66">
        <f t="shared" si="9"/>
        <v>1953.6369999999999</v>
      </c>
      <c r="B289" s="66">
        <f t="shared" si="10"/>
        <v>5</v>
      </c>
      <c r="C289" s="97">
        <v>71.363</v>
      </c>
      <c r="D289" s="68">
        <v>8.5891999999999996E-2</v>
      </c>
    </row>
    <row r="290" spans="1:4" x14ac:dyDescent="0.25">
      <c r="A290" s="66">
        <f t="shared" si="9"/>
        <v>1953.615</v>
      </c>
      <c r="B290" s="66">
        <f t="shared" si="10"/>
        <v>5</v>
      </c>
      <c r="C290" s="97">
        <v>71.385000000000005</v>
      </c>
      <c r="D290" s="68">
        <v>0.12612599999999999</v>
      </c>
    </row>
    <row r="291" spans="1:4" x14ac:dyDescent="0.25">
      <c r="A291" s="66">
        <f t="shared" si="9"/>
        <v>1950.136</v>
      </c>
      <c r="B291" s="66">
        <f t="shared" si="10"/>
        <v>5</v>
      </c>
      <c r="C291" s="97">
        <v>74.864000000000004</v>
      </c>
      <c r="D291" s="68">
        <v>7.8854999999999995E-2</v>
      </c>
    </row>
  </sheetData>
  <autoFilter ref="B5:D291" xr:uid="{81AAB840-C771-4B0F-9FF5-2043054B8CAA}"/>
  <sortState xmlns:xlrd2="http://schemas.microsoft.com/office/spreadsheetml/2017/richdata2" ref="C6:D291">
    <sortCondition ref="C7:C291"/>
  </sortState>
  <mergeCells count="7">
    <mergeCell ref="F23:W24"/>
    <mergeCell ref="C4:D4"/>
    <mergeCell ref="F4:I4"/>
    <mergeCell ref="K4:M4"/>
    <mergeCell ref="O4:W4"/>
    <mergeCell ref="K21:L21"/>
    <mergeCell ref="O13:O17"/>
  </mergeCells>
  <pageMargins left="0.7" right="0.7" top="0.75" bottom="0.75" header="0.3" footer="0.3"/>
  <pageSetup orientation="portrait" r:id="rId1"/>
  <headerFooter>
    <oddFooter>&amp;L_x000D_&amp;1#&amp;"Calibri"&amp;10&amp;K000000 Fidelity Internal Information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FC7FF-0033-4CCE-B744-350A534B97BA}">
  <sheetPr filterMode="1"/>
  <dimension ref="B1:G99"/>
  <sheetViews>
    <sheetView tabSelected="1" workbookViewId="0">
      <selection activeCell="G1" sqref="G1"/>
    </sheetView>
  </sheetViews>
  <sheetFormatPr defaultRowHeight="15" x14ac:dyDescent="0.25"/>
  <cols>
    <col min="7" max="7" width="10.28515625" bestFit="1" customWidth="1"/>
  </cols>
  <sheetData>
    <row r="1" spans="2:7" x14ac:dyDescent="0.25">
      <c r="B1" s="64" t="s">
        <v>78</v>
      </c>
      <c r="C1" s="64" t="s">
        <v>80</v>
      </c>
      <c r="D1" s="64" t="s">
        <v>117</v>
      </c>
      <c r="E1" s="65" t="s">
        <v>118</v>
      </c>
      <c r="F1" s="99" t="s">
        <v>124</v>
      </c>
      <c r="G1" s="99" t="s">
        <v>15</v>
      </c>
    </row>
    <row r="2" spans="2:7" x14ac:dyDescent="0.25">
      <c r="B2" s="66">
        <f>2025-D2</f>
        <v>1980.0550000000001</v>
      </c>
      <c r="C2" s="66">
        <f>MIN(6,MAX(0,INT(((D2+5)-20)/10)))</f>
        <v>2</v>
      </c>
      <c r="D2" s="67">
        <v>44.945</v>
      </c>
      <c r="E2" s="68">
        <v>0.14932400000000001</v>
      </c>
      <c r="F2">
        <v>0.1646</v>
      </c>
      <c r="G2" t="b">
        <f>F2&gt;E2</f>
        <v>1</v>
      </c>
    </row>
    <row r="3" spans="2:7" x14ac:dyDescent="0.25">
      <c r="B3" s="66">
        <f>2025-D3</f>
        <v>1980.058</v>
      </c>
      <c r="C3" s="66">
        <f>MIN(6,MAX(0,INT(((D3+5)-20)/10)))</f>
        <v>2</v>
      </c>
      <c r="D3" s="67">
        <v>44.942</v>
      </c>
      <c r="E3" s="68">
        <v>0.14942</v>
      </c>
      <c r="F3">
        <v>0.1646</v>
      </c>
      <c r="G3" t="b">
        <f t="shared" ref="G3:G66" si="0">F3&gt;E3</f>
        <v>1</v>
      </c>
    </row>
    <row r="4" spans="2:7" hidden="1" x14ac:dyDescent="0.25">
      <c r="B4" s="66">
        <f>2025-D4</f>
        <v>1980.17</v>
      </c>
      <c r="C4" s="66">
        <f>MIN(6,MAX(0,INT(((D4+5)-20)/10)))</f>
        <v>2</v>
      </c>
      <c r="D4" s="67">
        <v>44.83</v>
      </c>
      <c r="E4" s="68">
        <v>0.170818</v>
      </c>
      <c r="F4">
        <v>0.1646</v>
      </c>
      <c r="G4" t="b">
        <f t="shared" si="0"/>
        <v>0</v>
      </c>
    </row>
    <row r="5" spans="2:7" x14ac:dyDescent="0.25">
      <c r="B5" s="66">
        <f>2025-D5</f>
        <v>1980.34</v>
      </c>
      <c r="C5" s="66">
        <f>MIN(6,MAX(0,INT(((D5+5)-20)/10)))</f>
        <v>2</v>
      </c>
      <c r="D5" s="67">
        <v>44.66</v>
      </c>
      <c r="E5" s="68">
        <v>0.105173</v>
      </c>
      <c r="F5">
        <v>0.1646</v>
      </c>
      <c r="G5" t="b">
        <f t="shared" si="0"/>
        <v>1</v>
      </c>
    </row>
    <row r="6" spans="2:7" x14ac:dyDescent="0.25">
      <c r="B6" s="66">
        <f>2025-D6</f>
        <v>1980.578</v>
      </c>
      <c r="C6" s="66">
        <f>MIN(6,MAX(0,INT(((D6+5)-20)/10)))</f>
        <v>2</v>
      </c>
      <c r="D6" s="67">
        <v>44.421999999999997</v>
      </c>
      <c r="E6" s="68">
        <v>0.149423</v>
      </c>
      <c r="F6">
        <v>0.1646</v>
      </c>
      <c r="G6" t="b">
        <f t="shared" si="0"/>
        <v>1</v>
      </c>
    </row>
    <row r="7" spans="2:7" x14ac:dyDescent="0.25">
      <c r="B7" s="66">
        <f>2025-D7</f>
        <v>1980.644</v>
      </c>
      <c r="C7" s="66">
        <f>MIN(6,MAX(0,INT(((D7+5)-20)/10)))</f>
        <v>2</v>
      </c>
      <c r="D7" s="67">
        <v>44.356000000000002</v>
      </c>
      <c r="E7" s="68">
        <v>0.160745</v>
      </c>
      <c r="F7">
        <v>0.1646</v>
      </c>
      <c r="G7" t="b">
        <f t="shared" si="0"/>
        <v>1</v>
      </c>
    </row>
    <row r="8" spans="2:7" x14ac:dyDescent="0.25">
      <c r="B8" s="66">
        <f>2025-D8</f>
        <v>1980.682</v>
      </c>
      <c r="C8" s="66">
        <f>MIN(6,MAX(0,INT(((D8+5)-20)/10)))</f>
        <v>2</v>
      </c>
      <c r="D8" s="67">
        <v>44.317999999999998</v>
      </c>
      <c r="E8" s="68">
        <v>0.149424</v>
      </c>
      <c r="F8">
        <v>0.1646</v>
      </c>
      <c r="G8" t="b">
        <f t="shared" si="0"/>
        <v>1</v>
      </c>
    </row>
    <row r="9" spans="2:7" x14ac:dyDescent="0.25">
      <c r="B9" s="66">
        <f>2025-D9</f>
        <v>1980.808</v>
      </c>
      <c r="C9" s="66">
        <f>MIN(6,MAX(0,INT(((D9+5)-20)/10)))</f>
        <v>2</v>
      </c>
      <c r="D9" s="67">
        <v>44.192</v>
      </c>
      <c r="E9" s="68">
        <v>0.14942</v>
      </c>
      <c r="F9">
        <v>0.1646</v>
      </c>
      <c r="G9" t="b">
        <f t="shared" si="0"/>
        <v>1</v>
      </c>
    </row>
    <row r="10" spans="2:7" x14ac:dyDescent="0.25">
      <c r="B10" s="66">
        <f>2025-D10</f>
        <v>1980.8440000000001</v>
      </c>
      <c r="C10" s="66">
        <f>MIN(6,MAX(0,INT(((D10+5)-20)/10)))</f>
        <v>2</v>
      </c>
      <c r="D10" s="67">
        <v>44.155999999999999</v>
      </c>
      <c r="E10" s="68">
        <v>0.14941699999999999</v>
      </c>
      <c r="F10">
        <v>0.1646</v>
      </c>
      <c r="G10" t="b">
        <f t="shared" si="0"/>
        <v>1</v>
      </c>
    </row>
    <row r="11" spans="2:7" x14ac:dyDescent="0.25">
      <c r="B11" s="66">
        <f>2025-D11</f>
        <v>1980.8579999999999</v>
      </c>
      <c r="C11" s="66">
        <f>MIN(6,MAX(0,INT(((D11+5)-20)/10)))</f>
        <v>2</v>
      </c>
      <c r="D11" s="67">
        <v>44.142000000000003</v>
      </c>
      <c r="E11" s="68">
        <v>0.14942</v>
      </c>
      <c r="F11">
        <v>0.1646</v>
      </c>
      <c r="G11" t="b">
        <f t="shared" si="0"/>
        <v>1</v>
      </c>
    </row>
    <row r="12" spans="2:7" hidden="1" x14ac:dyDescent="0.25">
      <c r="B12" s="66">
        <f>2025-D12</f>
        <v>1980.89</v>
      </c>
      <c r="C12" s="66">
        <f>MIN(6,MAX(0,INT(((D12+5)-20)/10)))</f>
        <v>2</v>
      </c>
      <c r="D12" s="67">
        <v>44.11</v>
      </c>
      <c r="E12" s="68">
        <v>0.169183</v>
      </c>
      <c r="F12">
        <v>0.1646</v>
      </c>
      <c r="G12" t="b">
        <f t="shared" si="0"/>
        <v>0</v>
      </c>
    </row>
    <row r="13" spans="2:7" x14ac:dyDescent="0.25">
      <c r="B13" s="66">
        <f>2025-D13</f>
        <v>1980.9939999999999</v>
      </c>
      <c r="C13" s="66">
        <f>MIN(6,MAX(0,INT(((D13+5)-20)/10)))</f>
        <v>2</v>
      </c>
      <c r="D13" s="67">
        <v>44.006</v>
      </c>
      <c r="E13" s="68">
        <v>4.3614E-2</v>
      </c>
      <c r="F13">
        <v>0.1646</v>
      </c>
      <c r="G13" t="b">
        <f t="shared" si="0"/>
        <v>1</v>
      </c>
    </row>
    <row r="14" spans="2:7" x14ac:dyDescent="0.25">
      <c r="B14" s="66">
        <f>2025-D14</f>
        <v>1981.0139999999999</v>
      </c>
      <c r="C14" s="66">
        <f>MIN(6,MAX(0,INT(((D14+5)-20)/10)))</f>
        <v>2</v>
      </c>
      <c r="D14" s="67">
        <v>43.985999999999997</v>
      </c>
      <c r="E14" s="68">
        <v>0.149422</v>
      </c>
      <c r="F14">
        <v>0.1646</v>
      </c>
      <c r="G14" t="b">
        <f t="shared" si="0"/>
        <v>1</v>
      </c>
    </row>
    <row r="15" spans="2:7" hidden="1" x14ac:dyDescent="0.25">
      <c r="B15" s="66">
        <f>2025-D15</f>
        <v>1981.126</v>
      </c>
      <c r="C15" s="66">
        <f>MIN(6,MAX(0,INT(((D15+5)-20)/10)))</f>
        <v>2</v>
      </c>
      <c r="D15" s="67">
        <v>43.874000000000002</v>
      </c>
      <c r="E15" s="68">
        <v>0.17474600000000001</v>
      </c>
      <c r="F15">
        <v>0.1646</v>
      </c>
      <c r="G15" t="b">
        <f t="shared" si="0"/>
        <v>0</v>
      </c>
    </row>
    <row r="16" spans="2:7" hidden="1" x14ac:dyDescent="0.25">
      <c r="B16" s="66">
        <f>2025-D16</f>
        <v>1981.2049999999999</v>
      </c>
      <c r="C16" s="66">
        <f>MIN(6,MAX(0,INT(((D16+5)-20)/10)))</f>
        <v>2</v>
      </c>
      <c r="D16" s="67">
        <v>43.795000000000002</v>
      </c>
      <c r="E16" s="68">
        <v>0.172399</v>
      </c>
      <c r="F16">
        <v>0.1646</v>
      </c>
      <c r="G16" t="b">
        <f t="shared" si="0"/>
        <v>0</v>
      </c>
    </row>
    <row r="17" spans="2:7" x14ac:dyDescent="0.25">
      <c r="B17" s="66">
        <f>2025-D17</f>
        <v>1981.298</v>
      </c>
      <c r="C17" s="66">
        <f>MIN(6,MAX(0,INT(((D17+5)-20)/10)))</f>
        <v>2</v>
      </c>
      <c r="D17" s="67">
        <v>43.701999999999998</v>
      </c>
      <c r="E17" s="68">
        <v>0.14951800000000001</v>
      </c>
      <c r="F17">
        <v>0.1646</v>
      </c>
      <c r="G17" t="b">
        <f t="shared" si="0"/>
        <v>1</v>
      </c>
    </row>
    <row r="18" spans="2:7" hidden="1" x14ac:dyDescent="0.25">
      <c r="B18" s="66">
        <f>2025-D18</f>
        <v>1981.509</v>
      </c>
      <c r="C18" s="66">
        <f>MIN(6,MAX(0,INT(((D18+5)-20)/10)))</f>
        <v>2</v>
      </c>
      <c r="D18" s="67">
        <v>43.491</v>
      </c>
      <c r="E18" s="68">
        <v>0.17458799999999999</v>
      </c>
      <c r="F18">
        <v>0.1646</v>
      </c>
      <c r="G18" t="b">
        <f t="shared" si="0"/>
        <v>0</v>
      </c>
    </row>
    <row r="19" spans="2:7" x14ac:dyDescent="0.25">
      <c r="B19" s="66">
        <f>2025-D19</f>
        <v>1981.5720000000001</v>
      </c>
      <c r="C19" s="66">
        <f>MIN(6,MAX(0,INT(((D19+5)-20)/10)))</f>
        <v>2</v>
      </c>
      <c r="D19" s="67">
        <v>43.427999999999997</v>
      </c>
      <c r="E19" s="68">
        <v>0.14942</v>
      </c>
      <c r="F19">
        <v>0.1646</v>
      </c>
      <c r="G19" t="b">
        <f t="shared" si="0"/>
        <v>1</v>
      </c>
    </row>
    <row r="20" spans="2:7" x14ac:dyDescent="0.25">
      <c r="B20" s="66">
        <f>2025-D20</f>
        <v>1981.704</v>
      </c>
      <c r="C20" s="66">
        <f>MIN(6,MAX(0,INT(((D20+5)-20)/10)))</f>
        <v>2</v>
      </c>
      <c r="D20" s="67">
        <v>43.295999999999999</v>
      </c>
      <c r="E20" s="68">
        <v>0.149422</v>
      </c>
      <c r="F20">
        <v>0.1646</v>
      </c>
      <c r="G20" t="b">
        <f t="shared" si="0"/>
        <v>1</v>
      </c>
    </row>
    <row r="21" spans="2:7" x14ac:dyDescent="0.25">
      <c r="B21" s="66">
        <f>2025-D21</f>
        <v>1981.742</v>
      </c>
      <c r="C21" s="66">
        <f>MIN(6,MAX(0,INT(((D21+5)-20)/10)))</f>
        <v>2</v>
      </c>
      <c r="D21" s="67">
        <v>43.258000000000003</v>
      </c>
      <c r="E21" s="68">
        <v>0.149424</v>
      </c>
      <c r="F21">
        <v>0.1646</v>
      </c>
      <c r="G21" t="b">
        <f t="shared" si="0"/>
        <v>1</v>
      </c>
    </row>
    <row r="22" spans="2:7" x14ac:dyDescent="0.25">
      <c r="B22" s="66">
        <f>2025-D22</f>
        <v>1981.8019999999999</v>
      </c>
      <c r="C22" s="66">
        <f>MIN(6,MAX(0,INT(((D22+5)-20)/10)))</f>
        <v>2</v>
      </c>
      <c r="D22" s="67">
        <v>43.198</v>
      </c>
      <c r="E22" s="68">
        <v>0.149422</v>
      </c>
      <c r="F22">
        <v>0.1646</v>
      </c>
      <c r="G22" t="b">
        <f t="shared" si="0"/>
        <v>1</v>
      </c>
    </row>
    <row r="23" spans="2:7" x14ac:dyDescent="0.25">
      <c r="B23" s="66">
        <f>2025-D23</f>
        <v>1981.816</v>
      </c>
      <c r="C23" s="66">
        <f>MIN(6,MAX(0,INT(((D23+5)-20)/10)))</f>
        <v>2</v>
      </c>
      <c r="D23" s="67">
        <v>43.183999999999997</v>
      </c>
      <c r="E23" s="68">
        <v>0.14942</v>
      </c>
      <c r="F23">
        <v>0.1646</v>
      </c>
      <c r="G23" t="b">
        <f t="shared" si="0"/>
        <v>1</v>
      </c>
    </row>
    <row r="24" spans="2:7" x14ac:dyDescent="0.25">
      <c r="B24" s="66">
        <f>2025-D24</f>
        <v>1981.934</v>
      </c>
      <c r="C24" s="66">
        <f>MIN(6,MAX(0,INT(((D24+5)-20)/10)))</f>
        <v>2</v>
      </c>
      <c r="D24" s="67">
        <v>43.066000000000003</v>
      </c>
      <c r="E24" s="68">
        <v>0.13062199999999999</v>
      </c>
      <c r="F24">
        <v>0.1646</v>
      </c>
      <c r="G24" t="b">
        <f t="shared" si="0"/>
        <v>1</v>
      </c>
    </row>
    <row r="25" spans="2:7" x14ac:dyDescent="0.25">
      <c r="B25" s="66">
        <f>2025-D25</f>
        <v>1982.1310000000001</v>
      </c>
      <c r="C25" s="66">
        <f>MIN(6,MAX(0,INT(((D25+5)-20)/10)))</f>
        <v>2</v>
      </c>
      <c r="D25" s="67">
        <v>42.869</v>
      </c>
      <c r="E25" s="68">
        <v>0.14942</v>
      </c>
      <c r="F25">
        <v>0.16450000000000001</v>
      </c>
      <c r="G25" t="b">
        <f t="shared" si="0"/>
        <v>1</v>
      </c>
    </row>
    <row r="26" spans="2:7" x14ac:dyDescent="0.25">
      <c r="B26" s="66">
        <f>2025-D26</f>
        <v>1982.153</v>
      </c>
      <c r="C26" s="66">
        <f>MIN(6,MAX(0,INT(((D26+5)-20)/10)))</f>
        <v>2</v>
      </c>
      <c r="D26" s="67">
        <v>42.847000000000001</v>
      </c>
      <c r="E26" s="68">
        <v>0.14942</v>
      </c>
      <c r="F26">
        <v>0.16450000000000001</v>
      </c>
      <c r="G26" t="b">
        <f t="shared" si="0"/>
        <v>1</v>
      </c>
    </row>
    <row r="27" spans="2:7" hidden="1" x14ac:dyDescent="0.25">
      <c r="B27" s="66">
        <f>2025-D27</f>
        <v>1982.1659999999999</v>
      </c>
      <c r="C27" s="66">
        <f>MIN(6,MAX(0,INT(((D27+5)-20)/10)))</f>
        <v>2</v>
      </c>
      <c r="D27" s="67">
        <v>42.834000000000003</v>
      </c>
      <c r="E27" s="68">
        <v>0.16662399999999999</v>
      </c>
      <c r="F27">
        <v>0.16450000000000001</v>
      </c>
      <c r="G27" t="b">
        <f t="shared" si="0"/>
        <v>0</v>
      </c>
    </row>
    <row r="28" spans="2:7" x14ac:dyDescent="0.25">
      <c r="B28" s="66">
        <f>2025-D28</f>
        <v>1982.2570000000001</v>
      </c>
      <c r="C28" s="66">
        <f>MIN(6,MAX(0,INT(((D28+5)-20)/10)))</f>
        <v>2</v>
      </c>
      <c r="D28" s="67">
        <v>42.743000000000002</v>
      </c>
      <c r="E28" s="68">
        <v>0.160749</v>
      </c>
      <c r="F28">
        <v>0.16450000000000001</v>
      </c>
      <c r="G28" t="b">
        <f t="shared" si="0"/>
        <v>1</v>
      </c>
    </row>
    <row r="29" spans="2:7" x14ac:dyDescent="0.25">
      <c r="B29" s="66">
        <f>2025-D29</f>
        <v>1982.3989999999999</v>
      </c>
      <c r="C29" s="66">
        <f>MIN(6,MAX(0,INT(((D29+5)-20)/10)))</f>
        <v>2</v>
      </c>
      <c r="D29" s="67">
        <v>42.600999999999999</v>
      </c>
      <c r="E29" s="68">
        <v>0.160826</v>
      </c>
      <c r="F29">
        <v>0.16450000000000001</v>
      </c>
      <c r="G29" t="b">
        <f t="shared" si="0"/>
        <v>1</v>
      </c>
    </row>
    <row r="30" spans="2:7" x14ac:dyDescent="0.25">
      <c r="B30" s="66">
        <f>2025-D30</f>
        <v>1982.421</v>
      </c>
      <c r="C30" s="66">
        <f>MIN(6,MAX(0,INT(((D30+5)-20)/10)))</f>
        <v>2</v>
      </c>
      <c r="D30" s="67">
        <v>42.579000000000001</v>
      </c>
      <c r="E30" s="68">
        <v>0.16075500000000001</v>
      </c>
      <c r="F30">
        <v>0.16450000000000001</v>
      </c>
      <c r="G30" t="b">
        <f t="shared" si="0"/>
        <v>1</v>
      </c>
    </row>
    <row r="31" spans="2:7" x14ac:dyDescent="0.25">
      <c r="B31" s="66">
        <f>2025-D31</f>
        <v>1982.5</v>
      </c>
      <c r="C31" s="66">
        <f>MIN(6,MAX(0,INT(((D31+5)-20)/10)))</f>
        <v>2</v>
      </c>
      <c r="D31" s="67">
        <v>42.5</v>
      </c>
      <c r="E31" s="68">
        <v>0.15831100000000001</v>
      </c>
      <c r="F31">
        <v>0.16450000000000001</v>
      </c>
      <c r="G31" t="b">
        <f t="shared" si="0"/>
        <v>1</v>
      </c>
    </row>
    <row r="32" spans="2:7" hidden="1" x14ac:dyDescent="0.25">
      <c r="B32" s="66">
        <f>2025-D32</f>
        <v>1982.5139999999999</v>
      </c>
      <c r="C32" s="66">
        <f>MIN(6,MAX(0,INT(((D32+5)-20)/10)))</f>
        <v>2</v>
      </c>
      <c r="D32" s="67">
        <v>42.485999999999997</v>
      </c>
      <c r="E32" s="68">
        <v>0.17554700000000001</v>
      </c>
      <c r="F32">
        <v>0.16450000000000001</v>
      </c>
      <c r="G32" t="b">
        <f t="shared" si="0"/>
        <v>0</v>
      </c>
    </row>
    <row r="33" spans="2:7" x14ac:dyDescent="0.25">
      <c r="B33" s="66">
        <f>2025-D33</f>
        <v>1982.624</v>
      </c>
      <c r="C33" s="66">
        <f>MIN(6,MAX(0,INT(((D33+5)-20)/10)))</f>
        <v>2</v>
      </c>
      <c r="D33" s="67">
        <v>42.375999999999998</v>
      </c>
      <c r="E33" s="68">
        <v>0.160748</v>
      </c>
      <c r="F33">
        <v>0.16450000000000001</v>
      </c>
      <c r="G33" t="b">
        <f t="shared" si="0"/>
        <v>1</v>
      </c>
    </row>
    <row r="34" spans="2:7" x14ac:dyDescent="0.25">
      <c r="B34" s="66">
        <f>2025-D34</f>
        <v>1982.6559999999999</v>
      </c>
      <c r="C34" s="66">
        <f>MIN(6,MAX(0,INT(((D34+5)-20)/10)))</f>
        <v>2</v>
      </c>
      <c r="D34" s="67">
        <v>42.344000000000001</v>
      </c>
      <c r="E34" s="68">
        <v>0.14736099999999999</v>
      </c>
      <c r="F34">
        <v>0.16450000000000001</v>
      </c>
      <c r="G34" t="b">
        <f t="shared" si="0"/>
        <v>1</v>
      </c>
    </row>
    <row r="35" spans="2:7" x14ac:dyDescent="0.25">
      <c r="B35" s="66">
        <f>2025-D35</f>
        <v>1982.7080000000001</v>
      </c>
      <c r="C35" s="66">
        <f>MIN(6,MAX(0,INT(((D35+5)-20)/10)))</f>
        <v>2</v>
      </c>
      <c r="D35" s="67">
        <v>42.292000000000002</v>
      </c>
      <c r="E35" s="68">
        <v>0.160748</v>
      </c>
      <c r="F35">
        <v>0.16450000000000001</v>
      </c>
      <c r="G35" t="b">
        <f t="shared" si="0"/>
        <v>1</v>
      </c>
    </row>
    <row r="36" spans="2:7" x14ac:dyDescent="0.25">
      <c r="B36" s="66">
        <f>2025-D36</f>
        <v>1983.2560000000001</v>
      </c>
      <c r="C36" s="66">
        <f>MIN(6,MAX(0,INT(((D36+5)-20)/10)))</f>
        <v>2</v>
      </c>
      <c r="D36" s="67">
        <v>41.744</v>
      </c>
      <c r="E36" s="68">
        <v>0.160745</v>
      </c>
      <c r="F36">
        <v>0.16450000000000001</v>
      </c>
      <c r="G36" t="b">
        <f t="shared" si="0"/>
        <v>1</v>
      </c>
    </row>
    <row r="37" spans="2:7" x14ac:dyDescent="0.25">
      <c r="B37" s="66">
        <f>2025-D37</f>
        <v>1983.598</v>
      </c>
      <c r="C37" s="66">
        <f>MIN(6,MAX(0,INT(((D37+5)-20)/10)))</f>
        <v>2</v>
      </c>
      <c r="D37" s="67">
        <v>41.402000000000001</v>
      </c>
      <c r="E37" s="68">
        <v>0.160661</v>
      </c>
      <c r="F37">
        <v>0.16450000000000001</v>
      </c>
      <c r="G37" t="b">
        <f t="shared" si="0"/>
        <v>1</v>
      </c>
    </row>
    <row r="38" spans="2:7" x14ac:dyDescent="0.25">
      <c r="B38" s="66">
        <f>2025-D38</f>
        <v>1983.8579999999999</v>
      </c>
      <c r="C38" s="66">
        <f>MIN(6,MAX(0,INT(((D38+5)-20)/10)))</f>
        <v>2</v>
      </c>
      <c r="D38" s="67">
        <v>41.142000000000003</v>
      </c>
      <c r="E38" s="68">
        <v>0.160749</v>
      </c>
      <c r="F38">
        <v>0.16450000000000001</v>
      </c>
      <c r="G38" t="b">
        <f t="shared" si="0"/>
        <v>1</v>
      </c>
    </row>
    <row r="39" spans="2:7" hidden="1" x14ac:dyDescent="0.25">
      <c r="B39" s="66">
        <f>2025-D39</f>
        <v>1983.8989999999999</v>
      </c>
      <c r="C39" s="66">
        <f>MIN(6,MAX(0,INT(((D39+5)-20)/10)))</f>
        <v>2</v>
      </c>
      <c r="D39" s="67">
        <v>41.100999999999999</v>
      </c>
      <c r="E39" s="68">
        <v>0.18290100000000001</v>
      </c>
      <c r="F39">
        <v>0.16450000000000001</v>
      </c>
      <c r="G39" t="b">
        <f t="shared" si="0"/>
        <v>0</v>
      </c>
    </row>
    <row r="40" spans="2:7" x14ac:dyDescent="0.25">
      <c r="B40" s="66">
        <f>2025-D40</f>
        <v>1983.8989999999999</v>
      </c>
      <c r="C40" s="66">
        <f>MIN(6,MAX(0,INT(((D40+5)-20)/10)))</f>
        <v>2</v>
      </c>
      <c r="D40" s="67">
        <v>41.100999999999999</v>
      </c>
      <c r="E40" s="68">
        <v>0.160748</v>
      </c>
      <c r="F40">
        <v>0.16450000000000001</v>
      </c>
      <c r="G40" t="b">
        <f t="shared" si="0"/>
        <v>1</v>
      </c>
    </row>
    <row r="41" spans="2:7" x14ac:dyDescent="0.25">
      <c r="B41" s="66">
        <f>2025-D41</f>
        <v>1983.9380000000001</v>
      </c>
      <c r="C41" s="66">
        <f>MIN(6,MAX(0,INT(((D41+5)-20)/10)))</f>
        <v>2</v>
      </c>
      <c r="D41" s="67">
        <v>41.061999999999998</v>
      </c>
      <c r="E41" s="68">
        <v>0.16082099999999999</v>
      </c>
      <c r="F41">
        <v>0.16450000000000001</v>
      </c>
      <c r="G41" t="b">
        <f t="shared" si="0"/>
        <v>1</v>
      </c>
    </row>
    <row r="42" spans="2:7" x14ac:dyDescent="0.25">
      <c r="B42" s="66">
        <f>2025-D42</f>
        <v>1983.96</v>
      </c>
      <c r="C42" s="66">
        <f>MIN(6,MAX(0,INT(((D42+5)-20)/10)))</f>
        <v>2</v>
      </c>
      <c r="D42" s="67">
        <v>41.04</v>
      </c>
      <c r="E42" s="68">
        <v>0.161269</v>
      </c>
      <c r="F42">
        <v>0.16450000000000001</v>
      </c>
      <c r="G42" t="b">
        <f t="shared" si="0"/>
        <v>1</v>
      </c>
    </row>
    <row r="43" spans="2:7" x14ac:dyDescent="0.25">
      <c r="B43" s="66">
        <f>2025-D43</f>
        <v>1984.239</v>
      </c>
      <c r="C43" s="66">
        <f>MIN(6,MAX(0,INT(((D43+5)-20)/10)))</f>
        <v>2</v>
      </c>
      <c r="D43" s="67">
        <v>40.761000000000003</v>
      </c>
      <c r="E43" s="68">
        <v>0.16072800000000001</v>
      </c>
      <c r="F43">
        <v>0.16450000000000001</v>
      </c>
      <c r="G43" t="b">
        <f t="shared" si="0"/>
        <v>1</v>
      </c>
    </row>
    <row r="44" spans="2:7" x14ac:dyDescent="0.25">
      <c r="B44" s="66">
        <f>2025-D44</f>
        <v>1984.3889999999999</v>
      </c>
      <c r="C44" s="66">
        <f>MIN(6,MAX(0,INT(((D44+5)-20)/10)))</f>
        <v>2</v>
      </c>
      <c r="D44" s="67">
        <v>40.610999999999997</v>
      </c>
      <c r="E44" s="68">
        <v>0.160748</v>
      </c>
      <c r="F44">
        <v>0.16450000000000001</v>
      </c>
      <c r="G44" t="b">
        <f t="shared" si="0"/>
        <v>1</v>
      </c>
    </row>
    <row r="45" spans="2:7" x14ac:dyDescent="0.25">
      <c r="B45" s="66">
        <f>2025-D45</f>
        <v>1984.414</v>
      </c>
      <c r="C45" s="66">
        <f>MIN(6,MAX(0,INT(((D45+5)-20)/10)))</f>
        <v>2</v>
      </c>
      <c r="D45" s="67">
        <v>40.585999999999999</v>
      </c>
      <c r="E45" s="68">
        <v>0.160638</v>
      </c>
      <c r="F45">
        <v>0.16450000000000001</v>
      </c>
      <c r="G45" t="b">
        <f t="shared" si="0"/>
        <v>1</v>
      </c>
    </row>
    <row r="46" spans="2:7" x14ac:dyDescent="0.25">
      <c r="B46" s="66">
        <f>2025-D46</f>
        <v>1984.559</v>
      </c>
      <c r="C46" s="66">
        <f>MIN(6,MAX(0,INT(((D46+5)-20)/10)))</f>
        <v>2</v>
      </c>
      <c r="D46" s="67">
        <v>40.441000000000003</v>
      </c>
      <c r="E46" s="68">
        <v>0.16075</v>
      </c>
      <c r="F46">
        <v>0.16450000000000001</v>
      </c>
      <c r="G46" t="b">
        <f t="shared" si="0"/>
        <v>1</v>
      </c>
    </row>
    <row r="47" spans="2:7" x14ac:dyDescent="0.25">
      <c r="B47" s="66">
        <f>2025-D47</f>
        <v>1984.614</v>
      </c>
      <c r="C47" s="66">
        <f>MIN(6,MAX(0,INT(((D47+5)-20)/10)))</f>
        <v>2</v>
      </c>
      <c r="D47" s="67">
        <v>40.386000000000003</v>
      </c>
      <c r="E47" s="68">
        <v>0.160749</v>
      </c>
      <c r="F47">
        <v>0.16450000000000001</v>
      </c>
      <c r="G47" t="b">
        <f t="shared" si="0"/>
        <v>1</v>
      </c>
    </row>
    <row r="48" spans="2:7" x14ac:dyDescent="0.25">
      <c r="B48" s="66">
        <f>2025-D48</f>
        <v>1984.7370000000001</v>
      </c>
      <c r="C48" s="66">
        <f>MIN(6,MAX(0,INT(((D48+5)-20)/10)))</f>
        <v>2</v>
      </c>
      <c r="D48" s="67">
        <v>40.262999999999998</v>
      </c>
      <c r="E48" s="68">
        <v>0.16086300000000001</v>
      </c>
      <c r="F48">
        <v>0.16450000000000001</v>
      </c>
      <c r="G48" t="b">
        <f t="shared" si="0"/>
        <v>1</v>
      </c>
    </row>
    <row r="49" spans="2:7" x14ac:dyDescent="0.25">
      <c r="B49" s="66">
        <f>2025-D49</f>
        <v>1984.7560000000001</v>
      </c>
      <c r="C49" s="66">
        <f>MIN(6,MAX(0,INT(((D49+5)-20)/10)))</f>
        <v>2</v>
      </c>
      <c r="D49" s="67">
        <v>40.244</v>
      </c>
      <c r="E49" s="68">
        <v>0.16073399999999999</v>
      </c>
      <c r="F49">
        <v>0.16450000000000001</v>
      </c>
      <c r="G49" t="b">
        <f t="shared" si="0"/>
        <v>1</v>
      </c>
    </row>
    <row r="50" spans="2:7" x14ac:dyDescent="0.25">
      <c r="B50" s="66">
        <f>2025-D50</f>
        <v>1984.94</v>
      </c>
      <c r="C50" s="66">
        <f>MIN(6,MAX(0,INT(((D50+5)-20)/10)))</f>
        <v>2</v>
      </c>
      <c r="D50" s="67">
        <v>40.06</v>
      </c>
      <c r="E50" s="68">
        <v>0.16073399999999999</v>
      </c>
      <c r="F50">
        <v>0.16450000000000001</v>
      </c>
      <c r="G50" t="b">
        <f t="shared" si="0"/>
        <v>1</v>
      </c>
    </row>
    <row r="51" spans="2:7" x14ac:dyDescent="0.25">
      <c r="B51" s="66">
        <f>2025-D51</f>
        <v>1984.951</v>
      </c>
      <c r="C51" s="66">
        <f>MIN(6,MAX(0,INT(((D51+5)-20)/10)))</f>
        <v>2</v>
      </c>
      <c r="D51" s="67">
        <v>40.048999999999999</v>
      </c>
      <c r="E51" s="68">
        <v>0.16098499999999999</v>
      </c>
      <c r="F51">
        <v>0.16450000000000001</v>
      </c>
      <c r="G51" t="b">
        <f t="shared" si="0"/>
        <v>1</v>
      </c>
    </row>
    <row r="52" spans="2:7" x14ac:dyDescent="0.25">
      <c r="B52" s="66">
        <f>2025-D52</f>
        <v>1984.992</v>
      </c>
      <c r="C52" s="66">
        <f>MIN(6,MAX(0,INT(((D52+5)-20)/10)))</f>
        <v>2</v>
      </c>
      <c r="D52" s="67">
        <v>40.008000000000003</v>
      </c>
      <c r="E52" s="68">
        <v>0.160746</v>
      </c>
      <c r="F52">
        <v>0.16450000000000001</v>
      </c>
      <c r="G52" t="b">
        <f t="shared" si="0"/>
        <v>1</v>
      </c>
    </row>
    <row r="53" spans="2:7" x14ac:dyDescent="0.25">
      <c r="B53" s="66">
        <f>2025-D53</f>
        <v>1985.09</v>
      </c>
      <c r="C53" s="66">
        <f>MIN(6,MAX(0,INT(((D53+5)-20)/10)))</f>
        <v>2</v>
      </c>
      <c r="D53" s="67">
        <v>39.909999999999997</v>
      </c>
      <c r="E53" s="68">
        <v>0.160749</v>
      </c>
      <c r="F53">
        <v>0.16450000000000001</v>
      </c>
      <c r="G53" t="b">
        <f t="shared" si="0"/>
        <v>1</v>
      </c>
    </row>
    <row r="54" spans="2:7" x14ac:dyDescent="0.25">
      <c r="B54" s="66">
        <f>2025-D54</f>
        <v>1985.123</v>
      </c>
      <c r="C54" s="66">
        <f>MIN(6,MAX(0,INT(((D54+5)-20)/10)))</f>
        <v>2</v>
      </c>
      <c r="D54" s="67">
        <v>39.877000000000002</v>
      </c>
      <c r="E54" s="68">
        <v>0.160749</v>
      </c>
      <c r="F54">
        <v>0.16450000000000001</v>
      </c>
      <c r="G54" t="b">
        <f t="shared" si="0"/>
        <v>1</v>
      </c>
    </row>
    <row r="55" spans="2:7" x14ac:dyDescent="0.25">
      <c r="B55" s="66">
        <f>2025-D55</f>
        <v>1985.241</v>
      </c>
      <c r="C55" s="66">
        <f>MIN(6,MAX(0,INT(((D55+5)-20)/10)))</f>
        <v>2</v>
      </c>
      <c r="D55" s="67">
        <v>39.759</v>
      </c>
      <c r="E55" s="68">
        <v>0.12772</v>
      </c>
      <c r="F55">
        <v>0.16450000000000001</v>
      </c>
      <c r="G55" t="b">
        <f t="shared" si="0"/>
        <v>1</v>
      </c>
    </row>
    <row r="56" spans="2:7" hidden="1" x14ac:dyDescent="0.25">
      <c r="B56" s="66">
        <f>2025-D56</f>
        <v>1985.3009999999999</v>
      </c>
      <c r="C56" s="66">
        <f>MIN(6,MAX(0,INT(((D56+5)-20)/10)))</f>
        <v>2</v>
      </c>
      <c r="D56" s="67">
        <v>39.698999999999998</v>
      </c>
      <c r="E56" s="68">
        <v>0.173926</v>
      </c>
      <c r="F56">
        <v>0.16450000000000001</v>
      </c>
      <c r="G56" t="b">
        <f t="shared" si="0"/>
        <v>0</v>
      </c>
    </row>
    <row r="57" spans="2:7" x14ac:dyDescent="0.25">
      <c r="B57" s="66">
        <f>2025-D57</f>
        <v>1985.479</v>
      </c>
      <c r="C57" s="66">
        <f>MIN(6,MAX(0,INT(((D57+5)-20)/10)))</f>
        <v>2</v>
      </c>
      <c r="D57" s="67">
        <v>39.521000000000001</v>
      </c>
      <c r="E57" s="68">
        <v>0.160751</v>
      </c>
      <c r="F57">
        <v>0.16450000000000001</v>
      </c>
      <c r="G57" t="b">
        <f t="shared" si="0"/>
        <v>1</v>
      </c>
    </row>
    <row r="58" spans="2:7" x14ac:dyDescent="0.25">
      <c r="B58" s="66">
        <f>2025-D58</f>
        <v>1985.5340000000001</v>
      </c>
      <c r="C58" s="66">
        <f>MIN(6,MAX(0,INT(((D58+5)-20)/10)))</f>
        <v>2</v>
      </c>
      <c r="D58" s="67">
        <v>39.466000000000001</v>
      </c>
      <c r="E58" s="68">
        <v>0.16072400000000001</v>
      </c>
      <c r="F58">
        <v>0.16450000000000001</v>
      </c>
      <c r="G58" t="b">
        <f t="shared" si="0"/>
        <v>1</v>
      </c>
    </row>
    <row r="59" spans="2:7" x14ac:dyDescent="0.25">
      <c r="B59" s="66">
        <f>2025-D59</f>
        <v>1985.567</v>
      </c>
      <c r="C59" s="66">
        <f>MIN(6,MAX(0,INT(((D59+5)-20)/10)))</f>
        <v>2</v>
      </c>
      <c r="D59" s="67">
        <v>39.433</v>
      </c>
      <c r="E59" s="68">
        <v>0.16075</v>
      </c>
      <c r="F59">
        <v>0.16450000000000001</v>
      </c>
      <c r="G59" t="b">
        <f t="shared" si="0"/>
        <v>1</v>
      </c>
    </row>
    <row r="60" spans="2:7" x14ac:dyDescent="0.25">
      <c r="B60" s="66">
        <f>2025-D60</f>
        <v>1985.665</v>
      </c>
      <c r="C60" s="66">
        <f>MIN(6,MAX(0,INT(((D60+5)-20)/10)))</f>
        <v>2</v>
      </c>
      <c r="D60" s="67">
        <v>39.335000000000001</v>
      </c>
      <c r="E60" s="68">
        <v>0.160749</v>
      </c>
      <c r="F60">
        <v>0.16450000000000001</v>
      </c>
      <c r="G60" t="b">
        <f t="shared" si="0"/>
        <v>1</v>
      </c>
    </row>
    <row r="61" spans="2:7" x14ac:dyDescent="0.25">
      <c r="B61" s="66">
        <f>2025-D61</f>
        <v>1985.6759999999999</v>
      </c>
      <c r="C61" s="66">
        <f>MIN(6,MAX(0,INT(((D61+5)-20)/10)))</f>
        <v>2</v>
      </c>
      <c r="D61" s="67">
        <v>39.323999999999998</v>
      </c>
      <c r="E61" s="68">
        <v>0.15873699999999999</v>
      </c>
      <c r="F61">
        <v>0.16450000000000001</v>
      </c>
      <c r="G61" t="b">
        <f t="shared" si="0"/>
        <v>1</v>
      </c>
    </row>
    <row r="62" spans="2:7" x14ac:dyDescent="0.25">
      <c r="B62" s="66">
        <f>2025-D62</f>
        <v>1985.7059999999999</v>
      </c>
      <c r="C62" s="66">
        <f>MIN(6,MAX(0,INT(((D62+5)-20)/10)))</f>
        <v>2</v>
      </c>
      <c r="D62" s="67">
        <v>39.293999999999997</v>
      </c>
      <c r="E62" s="68">
        <v>0.16054399999999999</v>
      </c>
      <c r="F62">
        <v>0.16450000000000001</v>
      </c>
      <c r="G62" t="b">
        <f t="shared" si="0"/>
        <v>1</v>
      </c>
    </row>
    <row r="63" spans="2:7" x14ac:dyDescent="0.25">
      <c r="B63" s="66">
        <f>2025-D63</f>
        <v>1985.723</v>
      </c>
      <c r="C63" s="66">
        <f>MIN(6,MAX(0,INT(((D63+5)-20)/10)))</f>
        <v>2</v>
      </c>
      <c r="D63" s="67">
        <v>39.277000000000001</v>
      </c>
      <c r="E63" s="68">
        <v>0.160748</v>
      </c>
      <c r="F63">
        <v>0.16450000000000001</v>
      </c>
      <c r="G63" t="b">
        <f t="shared" si="0"/>
        <v>1</v>
      </c>
    </row>
    <row r="64" spans="2:7" x14ac:dyDescent="0.25">
      <c r="B64" s="66">
        <f>2025-D64</f>
        <v>1985.9829999999999</v>
      </c>
      <c r="C64" s="66">
        <f>MIN(6,MAX(0,INT(((D64+5)-20)/10)))</f>
        <v>2</v>
      </c>
      <c r="D64" s="67">
        <v>39.017000000000003</v>
      </c>
      <c r="E64" s="68">
        <v>0.16078200000000001</v>
      </c>
      <c r="F64">
        <v>0.16450000000000001</v>
      </c>
      <c r="G64" t="b">
        <f t="shared" si="0"/>
        <v>1</v>
      </c>
    </row>
    <row r="65" spans="2:7" x14ac:dyDescent="0.25">
      <c r="B65" s="66">
        <f>2025-D65</f>
        <v>1986.1030000000001</v>
      </c>
      <c r="C65" s="66">
        <f>MIN(6,MAX(0,INT(((D65+5)-20)/10)))</f>
        <v>2</v>
      </c>
      <c r="D65" s="67">
        <v>38.896999999999998</v>
      </c>
      <c r="E65" s="68">
        <v>0.16075</v>
      </c>
      <c r="F65">
        <v>0.16450000000000001</v>
      </c>
      <c r="G65" t="b">
        <f t="shared" si="0"/>
        <v>1</v>
      </c>
    </row>
    <row r="66" spans="2:7" hidden="1" x14ac:dyDescent="0.25">
      <c r="B66" s="66">
        <f>2025-D66</f>
        <v>1986.2760000000001</v>
      </c>
      <c r="C66" s="66">
        <f>MIN(6,MAX(0,INT(((D66+5)-20)/10)))</f>
        <v>2</v>
      </c>
      <c r="D66" s="67">
        <v>38.723999999999997</v>
      </c>
      <c r="E66" s="68">
        <v>0.17555499999999999</v>
      </c>
      <c r="F66">
        <v>0.16450000000000001</v>
      </c>
      <c r="G66" t="b">
        <f t="shared" si="0"/>
        <v>0</v>
      </c>
    </row>
    <row r="67" spans="2:7" x14ac:dyDescent="0.25">
      <c r="B67" s="66">
        <f>2025-D67</f>
        <v>1986.58</v>
      </c>
      <c r="C67" s="66">
        <f>MIN(6,MAX(0,INT(((D67+5)-20)/10)))</f>
        <v>2</v>
      </c>
      <c r="D67" s="67">
        <v>38.42</v>
      </c>
      <c r="E67" s="68">
        <v>0.160748</v>
      </c>
      <c r="F67">
        <v>0.16450000000000001</v>
      </c>
      <c r="G67" t="b">
        <f t="shared" ref="G67:G99" si="1">F67&gt;E67</f>
        <v>1</v>
      </c>
    </row>
    <row r="68" spans="2:7" x14ac:dyDescent="0.25">
      <c r="B68" s="66">
        <f>2025-D68</f>
        <v>1986.6179999999999</v>
      </c>
      <c r="C68" s="66">
        <f>MIN(6,MAX(0,INT(((D68+5)-20)/10)))</f>
        <v>2</v>
      </c>
      <c r="D68" s="67">
        <v>38.381999999999998</v>
      </c>
      <c r="E68" s="68">
        <v>0.160749</v>
      </c>
      <c r="F68">
        <v>0.16450000000000001</v>
      </c>
      <c r="G68" t="b">
        <f t="shared" si="1"/>
        <v>1</v>
      </c>
    </row>
    <row r="69" spans="2:7" x14ac:dyDescent="0.25">
      <c r="B69" s="66">
        <f>2025-D69</f>
        <v>1986.6320000000001</v>
      </c>
      <c r="C69" s="66">
        <f>MIN(6,MAX(0,INT(((D69+5)-20)/10)))</f>
        <v>2</v>
      </c>
      <c r="D69" s="67">
        <v>38.368000000000002</v>
      </c>
      <c r="E69" s="68">
        <v>0.160749</v>
      </c>
      <c r="F69">
        <v>0.16450000000000001</v>
      </c>
      <c r="G69" t="b">
        <f t="shared" si="1"/>
        <v>1</v>
      </c>
    </row>
    <row r="70" spans="2:7" x14ac:dyDescent="0.25">
      <c r="B70" s="66">
        <f>2025-D70</f>
        <v>1986.7739999999999</v>
      </c>
      <c r="C70" s="66">
        <f>MIN(6,MAX(0,INT(((D70+5)-20)/10)))</f>
        <v>2</v>
      </c>
      <c r="D70" s="67">
        <v>38.225999999999999</v>
      </c>
      <c r="E70" s="68">
        <v>7.8855999999999996E-2</v>
      </c>
      <c r="F70">
        <v>0.16450000000000001</v>
      </c>
      <c r="G70" t="b">
        <f t="shared" si="1"/>
        <v>1</v>
      </c>
    </row>
    <row r="71" spans="2:7" x14ac:dyDescent="0.25">
      <c r="B71" s="66">
        <f>2025-D71</f>
        <v>1986.7929999999999</v>
      </c>
      <c r="C71" s="66">
        <f>MIN(6,MAX(0,INT(((D71+5)-20)/10)))</f>
        <v>2</v>
      </c>
      <c r="D71" s="67">
        <v>38.207000000000001</v>
      </c>
      <c r="E71" s="68">
        <v>0.16075600000000001</v>
      </c>
      <c r="F71">
        <v>0.16450000000000001</v>
      </c>
      <c r="G71" t="b">
        <f t="shared" si="1"/>
        <v>1</v>
      </c>
    </row>
    <row r="72" spans="2:7" x14ac:dyDescent="0.25">
      <c r="B72" s="66">
        <f>2025-D72</f>
        <v>1986.903</v>
      </c>
      <c r="C72" s="66">
        <f>MIN(6,MAX(0,INT(((D72+5)-20)/10)))</f>
        <v>2</v>
      </c>
      <c r="D72" s="67">
        <v>38.097000000000001</v>
      </c>
      <c r="E72" s="68">
        <v>0.16069700000000001</v>
      </c>
      <c r="F72">
        <v>0.16450000000000001</v>
      </c>
      <c r="G72" t="b">
        <f t="shared" si="1"/>
        <v>1</v>
      </c>
    </row>
    <row r="73" spans="2:7" x14ac:dyDescent="0.25">
      <c r="B73" s="66">
        <f>2025-D73</f>
        <v>1986.971</v>
      </c>
      <c r="C73" s="66">
        <f>MIN(6,MAX(0,INT(((D73+5)-20)/10)))</f>
        <v>2</v>
      </c>
      <c r="D73" s="67">
        <v>38.029000000000003</v>
      </c>
      <c r="E73" s="68">
        <v>0.16075200000000001</v>
      </c>
      <c r="F73">
        <v>0.16420000000000001</v>
      </c>
      <c r="G73" t="b">
        <f t="shared" si="1"/>
        <v>1</v>
      </c>
    </row>
    <row r="74" spans="2:7" x14ac:dyDescent="0.25">
      <c r="B74" s="66">
        <f>2025-D74</f>
        <v>1987.0119999999999</v>
      </c>
      <c r="C74" s="66">
        <f>MIN(6,MAX(0,INT(((D74+5)-20)/10)))</f>
        <v>2</v>
      </c>
      <c r="D74" s="67">
        <v>37.988</v>
      </c>
      <c r="E74" s="68">
        <v>0.16131799999999999</v>
      </c>
      <c r="F74">
        <v>0.16420000000000001</v>
      </c>
      <c r="G74" t="b">
        <f t="shared" si="1"/>
        <v>1</v>
      </c>
    </row>
    <row r="75" spans="2:7" x14ac:dyDescent="0.25">
      <c r="B75" s="66">
        <f>2025-D75</f>
        <v>1987.0119999999999</v>
      </c>
      <c r="C75" s="66">
        <f>MIN(6,MAX(0,INT(((D75+5)-20)/10)))</f>
        <v>2</v>
      </c>
      <c r="D75" s="67">
        <v>37.988</v>
      </c>
      <c r="E75" s="68">
        <v>0.160748</v>
      </c>
      <c r="F75">
        <v>0.16420000000000001</v>
      </c>
      <c r="G75" t="b">
        <f t="shared" si="1"/>
        <v>1</v>
      </c>
    </row>
    <row r="76" spans="2:7" x14ac:dyDescent="0.25">
      <c r="B76" s="66">
        <f>2025-D76</f>
        <v>1987.0809999999999</v>
      </c>
      <c r="C76" s="66">
        <f>MIN(6,MAX(0,INT(((D76+5)-20)/10)))</f>
        <v>2</v>
      </c>
      <c r="D76" s="67">
        <v>37.918999999999997</v>
      </c>
      <c r="E76" s="68">
        <v>0.160168</v>
      </c>
      <c r="F76">
        <v>0.16420000000000001</v>
      </c>
      <c r="G76" t="b">
        <f t="shared" si="1"/>
        <v>1</v>
      </c>
    </row>
    <row r="77" spans="2:7" x14ac:dyDescent="0.25">
      <c r="B77" s="66">
        <f>2025-D77</f>
        <v>1987.453</v>
      </c>
      <c r="C77" s="66">
        <f>MIN(6,MAX(0,INT(((D77+5)-20)/10)))</f>
        <v>2</v>
      </c>
      <c r="D77" s="67">
        <v>37.546999999999997</v>
      </c>
      <c r="E77" s="68">
        <v>0.160689</v>
      </c>
      <c r="F77">
        <v>0.16420000000000001</v>
      </c>
      <c r="G77" t="b">
        <f t="shared" si="1"/>
        <v>1</v>
      </c>
    </row>
    <row r="78" spans="2:7" x14ac:dyDescent="0.25">
      <c r="B78" s="66">
        <f>2025-D78</f>
        <v>1987.585</v>
      </c>
      <c r="C78" s="66">
        <f>MIN(6,MAX(0,INT(((D78+5)-20)/10)))</f>
        <v>2</v>
      </c>
      <c r="D78" s="67">
        <v>37.414999999999999</v>
      </c>
      <c r="E78" s="68">
        <v>0.16068099999999999</v>
      </c>
      <c r="F78">
        <v>0.16420000000000001</v>
      </c>
      <c r="G78" t="b">
        <f t="shared" si="1"/>
        <v>1</v>
      </c>
    </row>
    <row r="79" spans="2:7" hidden="1" x14ac:dyDescent="0.25">
      <c r="B79" s="66">
        <f>2025-D79</f>
        <v>1987.7080000000001</v>
      </c>
      <c r="C79" s="66">
        <f>MIN(6,MAX(0,INT(((D79+5)-20)/10)))</f>
        <v>2</v>
      </c>
      <c r="D79" s="67">
        <v>37.292000000000002</v>
      </c>
      <c r="E79" s="68">
        <v>0.17560200000000001</v>
      </c>
      <c r="F79">
        <v>0.16420000000000001</v>
      </c>
      <c r="G79" t="b">
        <f t="shared" si="1"/>
        <v>0</v>
      </c>
    </row>
    <row r="80" spans="2:7" x14ac:dyDescent="0.25">
      <c r="B80" s="66">
        <f>2025-D80</f>
        <v>1987.9459999999999</v>
      </c>
      <c r="C80" s="66">
        <f>MIN(6,MAX(0,INT(((D80+5)-20)/10)))</f>
        <v>2</v>
      </c>
      <c r="D80" s="67">
        <v>37.054000000000002</v>
      </c>
      <c r="E80" s="68">
        <v>0.135329</v>
      </c>
      <c r="F80">
        <v>0.16420000000000001</v>
      </c>
      <c r="G80" t="b">
        <f t="shared" si="1"/>
        <v>1</v>
      </c>
    </row>
    <row r="81" spans="2:7" x14ac:dyDescent="0.25">
      <c r="B81" s="66">
        <f>2025-D81</f>
        <v>1987.962</v>
      </c>
      <c r="C81" s="66">
        <f>MIN(6,MAX(0,INT(((D81+5)-20)/10)))</f>
        <v>2</v>
      </c>
      <c r="D81" s="67">
        <v>37.037999999999997</v>
      </c>
      <c r="E81" s="68">
        <v>0.16070799999999999</v>
      </c>
      <c r="F81">
        <v>0.16420000000000001</v>
      </c>
      <c r="G81" t="b">
        <f t="shared" si="1"/>
        <v>1</v>
      </c>
    </row>
    <row r="82" spans="2:7" x14ac:dyDescent="0.25">
      <c r="B82" s="66">
        <f>2025-D82</f>
        <v>1988.0989999999999</v>
      </c>
      <c r="C82" s="66">
        <f>MIN(6,MAX(0,INT(((D82+5)-20)/10)))</f>
        <v>2</v>
      </c>
      <c r="D82" s="67">
        <v>36.901000000000003</v>
      </c>
      <c r="E82" s="68">
        <v>0.16156499999999999</v>
      </c>
      <c r="F82">
        <v>0.16420000000000001</v>
      </c>
      <c r="G82" t="b">
        <f t="shared" si="1"/>
        <v>1</v>
      </c>
    </row>
    <row r="83" spans="2:7" x14ac:dyDescent="0.25">
      <c r="B83" s="66">
        <f>2025-D83</f>
        <v>1988.277</v>
      </c>
      <c r="C83" s="66">
        <f>MIN(6,MAX(0,INT(((D83+5)-20)/10)))</f>
        <v>2</v>
      </c>
      <c r="D83" s="67">
        <v>36.722999999999999</v>
      </c>
      <c r="E83" s="68">
        <v>4.3332000000000002E-2</v>
      </c>
      <c r="F83">
        <v>0.16420000000000001</v>
      </c>
      <c r="G83" t="b">
        <f t="shared" si="1"/>
        <v>1</v>
      </c>
    </row>
    <row r="84" spans="2:7" x14ac:dyDescent="0.25">
      <c r="B84" s="66">
        <f>2025-D84</f>
        <v>1988.6659999999999</v>
      </c>
      <c r="C84" s="66">
        <f>MIN(6,MAX(0,INT(((D84+5)-20)/10)))</f>
        <v>2</v>
      </c>
      <c r="D84" s="67">
        <v>36.334000000000003</v>
      </c>
      <c r="E84" s="68">
        <v>0.16067999999999999</v>
      </c>
      <c r="F84">
        <v>0.16420000000000001</v>
      </c>
      <c r="G84" t="b">
        <f t="shared" si="1"/>
        <v>1</v>
      </c>
    </row>
    <row r="85" spans="2:7" x14ac:dyDescent="0.25">
      <c r="B85" s="66">
        <f>2025-D85</f>
        <v>1988.7239999999999</v>
      </c>
      <c r="C85" s="66">
        <f>MIN(6,MAX(0,INT(((D85+5)-20)/10)))</f>
        <v>2</v>
      </c>
      <c r="D85" s="67">
        <v>36.276000000000003</v>
      </c>
      <c r="E85" s="68">
        <v>0.160686</v>
      </c>
      <c r="F85">
        <v>0.16420000000000001</v>
      </c>
      <c r="G85" t="b">
        <f t="shared" si="1"/>
        <v>1</v>
      </c>
    </row>
    <row r="86" spans="2:7" x14ac:dyDescent="0.25">
      <c r="B86" s="66">
        <f>2025-D86</f>
        <v>1988.7650000000001</v>
      </c>
      <c r="C86" s="66">
        <f>MIN(6,MAX(0,INT(((D86+5)-20)/10)))</f>
        <v>2</v>
      </c>
      <c r="D86" s="67">
        <v>36.234999999999999</v>
      </c>
      <c r="E86" s="68">
        <v>0.162078</v>
      </c>
      <c r="F86">
        <v>0.16420000000000001</v>
      </c>
      <c r="G86" t="b">
        <f t="shared" si="1"/>
        <v>1</v>
      </c>
    </row>
    <row r="87" spans="2:7" x14ac:dyDescent="0.25">
      <c r="B87" s="66">
        <f>2025-D87</f>
        <v>1988.836</v>
      </c>
      <c r="C87" s="66">
        <f>MIN(6,MAX(0,INT(((D87+5)-20)/10)))</f>
        <v>2</v>
      </c>
      <c r="D87" s="67">
        <v>36.164000000000001</v>
      </c>
      <c r="E87" s="68">
        <v>0.16118099999999999</v>
      </c>
      <c r="F87">
        <v>0.16420000000000001</v>
      </c>
      <c r="G87" t="b">
        <f t="shared" si="1"/>
        <v>1</v>
      </c>
    </row>
    <row r="88" spans="2:7" x14ac:dyDescent="0.25">
      <c r="B88" s="66">
        <f>2025-D88</f>
        <v>1988.8520000000001</v>
      </c>
      <c r="C88" s="66">
        <f>MIN(6,MAX(0,INT(((D88+5)-20)/10)))</f>
        <v>2</v>
      </c>
      <c r="D88" s="67">
        <v>36.148000000000003</v>
      </c>
      <c r="E88" s="68">
        <v>0.160693</v>
      </c>
      <c r="F88">
        <v>0.16420000000000001</v>
      </c>
      <c r="G88" t="b">
        <f t="shared" si="1"/>
        <v>1</v>
      </c>
    </row>
    <row r="89" spans="2:7" x14ac:dyDescent="0.25">
      <c r="B89" s="66">
        <f>2025-D89</f>
        <v>1988.902</v>
      </c>
      <c r="C89" s="66">
        <f>MIN(6,MAX(0,INT(((D89+5)-20)/10)))</f>
        <v>2</v>
      </c>
      <c r="D89" s="67">
        <v>36.097999999999999</v>
      </c>
      <c r="E89" s="68">
        <v>0.16066900000000001</v>
      </c>
      <c r="F89">
        <v>0.16420000000000001</v>
      </c>
      <c r="G89" t="b">
        <f t="shared" si="1"/>
        <v>1</v>
      </c>
    </row>
    <row r="90" spans="2:7" x14ac:dyDescent="0.25">
      <c r="B90" s="66">
        <f>2025-D90</f>
        <v>1988.962</v>
      </c>
      <c r="C90" s="66">
        <f>MIN(6,MAX(0,INT(((D90+5)-20)/10)))</f>
        <v>2</v>
      </c>
      <c r="D90" s="67">
        <v>36.037999999999997</v>
      </c>
      <c r="E90" s="68">
        <v>0.16068299999999999</v>
      </c>
      <c r="F90">
        <v>0.16420000000000001</v>
      </c>
      <c r="G90" t="b">
        <f t="shared" si="1"/>
        <v>1</v>
      </c>
    </row>
    <row r="91" spans="2:7" x14ac:dyDescent="0.25">
      <c r="B91" s="66">
        <f>2025-D91</f>
        <v>1988.973</v>
      </c>
      <c r="C91" s="66">
        <f>MIN(6,MAX(0,INT(((D91+5)-20)/10)))</f>
        <v>2</v>
      </c>
      <c r="D91" s="67">
        <v>36.027000000000001</v>
      </c>
      <c r="E91" s="68">
        <v>0.16068299999999999</v>
      </c>
      <c r="F91">
        <v>0.16420000000000001</v>
      </c>
      <c r="G91" t="b">
        <f t="shared" si="1"/>
        <v>1</v>
      </c>
    </row>
    <row r="92" spans="2:7" x14ac:dyDescent="0.25">
      <c r="B92" s="66">
        <f>2025-D92</f>
        <v>1989.17</v>
      </c>
      <c r="C92" s="66">
        <f>MIN(6,MAX(0,INT(((D92+5)-20)/10)))</f>
        <v>2</v>
      </c>
      <c r="D92" s="67">
        <v>35.83</v>
      </c>
      <c r="E92" s="68">
        <v>0.16068299999999999</v>
      </c>
      <c r="F92">
        <v>0.16420000000000001</v>
      </c>
      <c r="G92" t="b">
        <f t="shared" si="1"/>
        <v>1</v>
      </c>
    </row>
    <row r="93" spans="2:7" x14ac:dyDescent="0.25">
      <c r="B93" s="66">
        <f>2025-D93</f>
        <v>1989.3230000000001</v>
      </c>
      <c r="C93" s="66">
        <f>MIN(6,MAX(0,INT(((D93+5)-20)/10)))</f>
        <v>2</v>
      </c>
      <c r="D93" s="67">
        <v>35.677</v>
      </c>
      <c r="E93" s="68">
        <v>0.16067500000000001</v>
      </c>
      <c r="F93">
        <v>0.16420000000000001</v>
      </c>
      <c r="G93" t="b">
        <f t="shared" si="1"/>
        <v>1</v>
      </c>
    </row>
    <row r="94" spans="2:7" hidden="1" x14ac:dyDescent="0.25">
      <c r="B94" s="66">
        <f>2025-D94</f>
        <v>1989.444</v>
      </c>
      <c r="C94" s="66">
        <f>MIN(6,MAX(0,INT(((D94+5)-20)/10)))</f>
        <v>2</v>
      </c>
      <c r="D94" s="67">
        <v>35.555999999999997</v>
      </c>
      <c r="E94" s="68">
        <v>0.17543800000000001</v>
      </c>
      <c r="F94">
        <v>0.16420000000000001</v>
      </c>
      <c r="G94" t="b">
        <f t="shared" si="1"/>
        <v>0</v>
      </c>
    </row>
    <row r="95" spans="2:7" x14ac:dyDescent="0.25">
      <c r="B95" s="66">
        <f>2025-D95</f>
        <v>1989.6079999999999</v>
      </c>
      <c r="C95" s="66">
        <f>MIN(6,MAX(0,INT(((D95+5)-20)/10)))</f>
        <v>2</v>
      </c>
      <c r="D95" s="67">
        <v>35.392000000000003</v>
      </c>
      <c r="E95" s="68">
        <v>0.160168</v>
      </c>
      <c r="F95">
        <v>0.16420000000000001</v>
      </c>
      <c r="G95" t="b">
        <f t="shared" si="1"/>
        <v>1</v>
      </c>
    </row>
    <row r="96" spans="2:7" x14ac:dyDescent="0.25">
      <c r="B96" s="66">
        <f>2025-D96</f>
        <v>1989.6569999999999</v>
      </c>
      <c r="C96" s="66">
        <f>MIN(6,MAX(0,INT(((D96+5)-20)/10)))</f>
        <v>2</v>
      </c>
      <c r="D96" s="67">
        <v>35.343000000000004</v>
      </c>
      <c r="E96" s="68">
        <v>0.16064100000000001</v>
      </c>
      <c r="F96">
        <v>0.16420000000000001</v>
      </c>
      <c r="G96" t="b">
        <f t="shared" si="1"/>
        <v>1</v>
      </c>
    </row>
    <row r="97" spans="2:7" x14ac:dyDescent="0.25">
      <c r="B97" s="66">
        <f>2025-D97</f>
        <v>1989.6959999999999</v>
      </c>
      <c r="C97" s="66">
        <f>MIN(6,MAX(0,INT(((D97+5)-20)/10)))</f>
        <v>2</v>
      </c>
      <c r="D97" s="67">
        <v>35.304000000000002</v>
      </c>
      <c r="E97" s="68">
        <v>0.16070000000000001</v>
      </c>
      <c r="F97">
        <v>0.16420000000000001</v>
      </c>
      <c r="G97" t="b">
        <f t="shared" si="1"/>
        <v>1</v>
      </c>
    </row>
    <row r="98" spans="2:7" x14ac:dyDescent="0.25">
      <c r="B98" s="66">
        <f>2025-D98</f>
        <v>1989.857</v>
      </c>
      <c r="C98" s="66">
        <f>MIN(6,MAX(0,INT(((D98+5)-20)/10)))</f>
        <v>2</v>
      </c>
      <c r="D98" s="67">
        <v>35.143000000000001</v>
      </c>
      <c r="E98" s="68">
        <v>0.16070300000000001</v>
      </c>
      <c r="F98">
        <v>0.16420000000000001</v>
      </c>
      <c r="G98" t="b">
        <f t="shared" si="1"/>
        <v>1</v>
      </c>
    </row>
    <row r="99" spans="2:7" x14ac:dyDescent="0.25">
      <c r="B99" s="66">
        <f>2025-D99</f>
        <v>1989.9780000000001</v>
      </c>
      <c r="C99" s="66">
        <f>MIN(6,MAX(0,INT(((D99+5)-20)/10)))</f>
        <v>2</v>
      </c>
      <c r="D99" s="67">
        <v>35.021999999999998</v>
      </c>
      <c r="E99" s="68">
        <v>0.159745</v>
      </c>
      <c r="F99">
        <v>0.16420000000000001</v>
      </c>
      <c r="G99" t="b">
        <f t="shared" si="1"/>
        <v>1</v>
      </c>
    </row>
  </sheetData>
  <autoFilter ref="B1:G99" xr:uid="{104FC7FF-0033-4CCE-B744-350A534B97BA}">
    <filterColumn colId="5">
      <filters>
        <filter val="TRUE"/>
      </filters>
    </filterColumn>
  </autoFilter>
  <sortState xmlns:xlrd2="http://schemas.microsoft.com/office/spreadsheetml/2017/richdata2" ref="B2:E99">
    <sortCondition ref="B2:B99"/>
  </sortState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1152-537A-401B-BC21-507D0808E7E0}">
  <dimension ref="B1:V122"/>
  <sheetViews>
    <sheetView topLeftCell="B1" workbookViewId="0">
      <selection activeCell="H6" sqref="H6"/>
    </sheetView>
  </sheetViews>
  <sheetFormatPr defaultColWidth="9.140625" defaultRowHeight="15" x14ac:dyDescent="0.25"/>
  <cols>
    <col min="1" max="1" width="1.7109375" style="1" customWidth="1"/>
    <col min="2" max="2" width="9.140625" style="2"/>
    <col min="3" max="3" width="9.140625" style="6"/>
    <col min="4" max="4" width="1.7109375" style="1" customWidth="1"/>
    <col min="5" max="5" width="6.140625" style="1" customWidth="1"/>
    <col min="6" max="6" width="7.5703125" style="1" customWidth="1"/>
    <col min="7" max="8" width="9.140625" style="1"/>
    <col min="9" max="9" width="1.7109375" style="1" customWidth="1"/>
    <col min="10" max="12" width="9.140625" style="1"/>
    <col min="13" max="13" width="1.7109375" style="1" customWidth="1"/>
    <col min="14" max="14" width="14.7109375" style="1" customWidth="1"/>
    <col min="15" max="15" width="14.7109375" style="1" hidden="1" customWidth="1"/>
    <col min="16" max="20" width="8.7109375" style="1" customWidth="1"/>
    <col min="21" max="21" width="8.7109375" style="1" hidden="1" customWidth="1"/>
    <col min="22" max="22" width="8.7109375" style="1" customWidth="1"/>
    <col min="23" max="23" width="1.7109375" style="1" customWidth="1"/>
    <col min="24" max="16384" width="9.140625" style="1"/>
  </cols>
  <sheetData>
    <row r="1" spans="2:22" ht="12" customHeight="1" x14ac:dyDescent="0.25"/>
    <row r="2" spans="2:22" ht="26.25" x14ac:dyDescent="0.4">
      <c r="B2" s="3" t="s">
        <v>19</v>
      </c>
    </row>
    <row r="3" spans="2:22" ht="12" customHeight="1" x14ac:dyDescent="0.25"/>
    <row r="4" spans="2:22" x14ac:dyDescent="0.25">
      <c r="B4" s="57" t="s">
        <v>2</v>
      </c>
      <c r="C4" s="57"/>
      <c r="E4" s="59" t="s">
        <v>5</v>
      </c>
      <c r="F4" s="60"/>
      <c r="G4" s="60"/>
      <c r="H4" s="61"/>
      <c r="J4" s="58" t="s">
        <v>6</v>
      </c>
      <c r="K4" s="58"/>
      <c r="L4" s="58"/>
      <c r="N4" s="58" t="s">
        <v>18</v>
      </c>
      <c r="O4" s="58"/>
      <c r="P4" s="58"/>
      <c r="Q4" s="58"/>
      <c r="R4" s="58"/>
      <c r="S4" s="58"/>
      <c r="T4" s="58"/>
      <c r="U4" s="58"/>
      <c r="V4" s="58"/>
    </row>
    <row r="5" spans="2:22" x14ac:dyDescent="0.25">
      <c r="B5" s="4" t="s">
        <v>0</v>
      </c>
      <c r="C5" s="7" t="s">
        <v>1</v>
      </c>
      <c r="E5" s="18" t="s">
        <v>23</v>
      </c>
      <c r="F5" s="18" t="s">
        <v>3</v>
      </c>
      <c r="G5" s="18" t="s">
        <v>0</v>
      </c>
      <c r="H5" s="18" t="s">
        <v>1</v>
      </c>
      <c r="J5" s="18" t="s">
        <v>4</v>
      </c>
      <c r="K5" s="18" t="s">
        <v>0</v>
      </c>
      <c r="L5" s="18" t="s">
        <v>1</v>
      </c>
      <c r="N5" s="18" t="s">
        <v>17</v>
      </c>
      <c r="O5" s="18" t="s">
        <v>21</v>
      </c>
      <c r="P5" s="18" t="s">
        <v>7</v>
      </c>
      <c r="Q5" s="18" t="s">
        <v>8</v>
      </c>
      <c r="R5" s="18" t="s">
        <v>9</v>
      </c>
      <c r="S5" s="18" t="s">
        <v>10</v>
      </c>
      <c r="T5" s="18" t="s">
        <v>11</v>
      </c>
      <c r="U5" s="18" t="s">
        <v>22</v>
      </c>
      <c r="V5" s="18" t="s">
        <v>13</v>
      </c>
    </row>
    <row r="6" spans="2:22" x14ac:dyDescent="0.25">
      <c r="B6" s="5">
        <v>67.902000000000001</v>
      </c>
      <c r="C6" s="8">
        <v>0.22331300000000001</v>
      </c>
      <c r="E6" s="23" t="str">
        <f t="shared" ref="E6:E21" si="0">IF(F6&lt;&gt;"",IF(F6&gt;0,TEXT(RIGHT(F6,2),"00"),"IN"),"")</f>
        <v>IN</v>
      </c>
      <c r="F6" s="11">
        <v>0</v>
      </c>
      <c r="G6" s="21">
        <v>90.249628671362174</v>
      </c>
      <c r="H6" s="22">
        <v>8.2799999999999999E-2</v>
      </c>
      <c r="J6" s="19" t="s">
        <v>7</v>
      </c>
      <c r="K6" s="10">
        <v>30</v>
      </c>
      <c r="L6" s="24">
        <f>IF(P7&lt;&gt;"",P7,NA())</f>
        <v>0.21033299999999999</v>
      </c>
      <c r="N6" s="10" t="s">
        <v>16</v>
      </c>
      <c r="O6" s="10">
        <v>0</v>
      </c>
      <c r="P6" s="16">
        <v>5.9829059829059832E-2</v>
      </c>
      <c r="Q6" s="16">
        <v>0.28205128205128205</v>
      </c>
      <c r="R6" s="16">
        <v>0.29059829059829062</v>
      </c>
      <c r="S6" s="16">
        <v>0.19658119658119658</v>
      </c>
      <c r="T6" s="16">
        <v>0.17094017094017094</v>
      </c>
      <c r="U6" s="16">
        <v>0</v>
      </c>
      <c r="V6" s="16">
        <v>1</v>
      </c>
    </row>
    <row r="7" spans="2:22" x14ac:dyDescent="0.25">
      <c r="B7" s="5">
        <v>46.883000000000003</v>
      </c>
      <c r="C7" s="8">
        <v>0.200187</v>
      </c>
      <c r="E7" s="23" t="str">
        <f t="shared" si="0"/>
        <v>10</v>
      </c>
      <c r="F7" s="11">
        <v>2010</v>
      </c>
      <c r="G7" s="21">
        <v>80.24805437483316</v>
      </c>
      <c r="H7" s="22">
        <v>9.7900000000000001E-2</v>
      </c>
      <c r="J7" s="19" t="s">
        <v>8</v>
      </c>
      <c r="K7" s="10">
        <v>40</v>
      </c>
      <c r="L7" s="24">
        <f>IF(Q7&lt;&gt;"",Q7,NA())</f>
        <v>0.210283</v>
      </c>
      <c r="N7" s="10" t="s">
        <v>14</v>
      </c>
      <c r="O7" s="10">
        <v>65535</v>
      </c>
      <c r="P7" s="17">
        <v>0.21033299999999999</v>
      </c>
      <c r="Q7" s="17">
        <v>0.210283</v>
      </c>
      <c r="R7" s="17">
        <v>0.190438</v>
      </c>
      <c r="S7" s="17">
        <v>0.15923499999999999</v>
      </c>
      <c r="T7" s="17">
        <v>0.14305799999999999</v>
      </c>
      <c r="U7" s="17">
        <v>65535</v>
      </c>
      <c r="V7" s="17">
        <v>0.200184</v>
      </c>
    </row>
    <row r="8" spans="2:22" x14ac:dyDescent="0.25">
      <c r="B8" s="5">
        <v>49.96</v>
      </c>
      <c r="C8" s="8">
        <v>0.186751</v>
      </c>
      <c r="E8" s="23" t="str">
        <f t="shared" si="0"/>
        <v>15</v>
      </c>
      <c r="F8" s="11">
        <v>2015</v>
      </c>
      <c r="G8" s="21">
        <v>75.24863618007214</v>
      </c>
      <c r="H8" s="22">
        <v>0.1144</v>
      </c>
      <c r="J8" s="19" t="s">
        <v>9</v>
      </c>
      <c r="K8" s="10">
        <v>50</v>
      </c>
      <c r="L8" s="24">
        <f>IF(R7&lt;&gt;"",R7,NA())</f>
        <v>0.190438</v>
      </c>
      <c r="N8" s="10" t="s">
        <v>15</v>
      </c>
      <c r="O8" s="10">
        <v>65535</v>
      </c>
      <c r="P8" s="16">
        <v>0.7142857142857143</v>
      </c>
      <c r="Q8" s="16">
        <v>0.81818181818181823</v>
      </c>
      <c r="R8" s="16">
        <v>0.79411764705882348</v>
      </c>
      <c r="S8" s="16">
        <v>0.21739130434782608</v>
      </c>
      <c r="T8" s="16">
        <v>0.7</v>
      </c>
      <c r="U8" s="16">
        <v>65535</v>
      </c>
      <c r="V8" s="16">
        <v>0.66666666666666663</v>
      </c>
    </row>
    <row r="9" spans="2:22" x14ac:dyDescent="0.25">
      <c r="B9" s="5">
        <v>49.116999999999997</v>
      </c>
      <c r="C9" s="8">
        <v>0.210284</v>
      </c>
      <c r="E9" s="23" t="str">
        <f t="shared" si="0"/>
        <v>20</v>
      </c>
      <c r="F9" s="11">
        <v>2020</v>
      </c>
      <c r="G9" s="21">
        <v>70.246480078304145</v>
      </c>
      <c r="H9" s="22">
        <v>0.13109999999999999</v>
      </c>
      <c r="J9" s="19" t="s">
        <v>10</v>
      </c>
      <c r="K9" s="10">
        <v>60</v>
      </c>
      <c r="L9" s="24">
        <f>IF(S7&lt;&gt;"",S7,NA())</f>
        <v>0.15923499999999999</v>
      </c>
    </row>
    <row r="10" spans="2:22" x14ac:dyDescent="0.25">
      <c r="B10" s="5">
        <v>44.155999999999999</v>
      </c>
      <c r="C10" s="8">
        <v>0.200184</v>
      </c>
      <c r="E10" s="23" t="str">
        <f t="shared" si="0"/>
        <v>25</v>
      </c>
      <c r="F10" s="11">
        <v>2025</v>
      </c>
      <c r="G10" s="21">
        <v>65.247061883543125</v>
      </c>
      <c r="H10" s="22">
        <v>0.14499999999999999</v>
      </c>
      <c r="J10" s="19" t="s">
        <v>11</v>
      </c>
      <c r="K10" s="10">
        <v>70</v>
      </c>
      <c r="L10" s="24">
        <f>IF(T7&lt;&gt;"",T7,NA())</f>
        <v>0.14305799999999999</v>
      </c>
    </row>
    <row r="11" spans="2:22" x14ac:dyDescent="0.25">
      <c r="B11" s="5">
        <v>30.308</v>
      </c>
      <c r="C11" s="8">
        <v>0.210318</v>
      </c>
      <c r="E11" s="23" t="str">
        <f t="shared" si="0"/>
        <v>30</v>
      </c>
      <c r="F11" s="11">
        <v>2030</v>
      </c>
      <c r="G11" s="21">
        <v>60.247643688782112</v>
      </c>
      <c r="H11" s="22">
        <v>0.1578</v>
      </c>
    </row>
    <row r="12" spans="2:22" x14ac:dyDescent="0.25">
      <c r="B12" s="5">
        <v>37.918999999999997</v>
      </c>
      <c r="C12" s="8">
        <v>0.21018800000000001</v>
      </c>
      <c r="E12" s="23" t="str">
        <f t="shared" si="0"/>
        <v>35</v>
      </c>
      <c r="F12" s="11">
        <v>2035</v>
      </c>
      <c r="G12" s="21">
        <v>55.248225494021092</v>
      </c>
      <c r="H12" s="22">
        <v>0.1804</v>
      </c>
    </row>
    <row r="13" spans="2:22" x14ac:dyDescent="0.25">
      <c r="B13" s="5">
        <v>67.286000000000001</v>
      </c>
      <c r="C13" s="8">
        <v>0.14307800000000001</v>
      </c>
      <c r="E13" s="23" t="str">
        <f t="shared" si="0"/>
        <v>40</v>
      </c>
      <c r="F13" s="11">
        <v>2040</v>
      </c>
      <c r="G13" s="21">
        <v>50.246069392253091</v>
      </c>
      <c r="H13" s="22">
        <v>0.20749999999999999</v>
      </c>
    </row>
    <row r="14" spans="2:22" x14ac:dyDescent="0.25">
      <c r="B14" s="5">
        <v>65.887</v>
      </c>
      <c r="C14" s="8">
        <v>0.242255</v>
      </c>
      <c r="E14" s="23" t="str">
        <f t="shared" si="0"/>
        <v>45</v>
      </c>
      <c r="F14" s="11">
        <v>2045</v>
      </c>
      <c r="G14" s="21">
        <v>45.246651197492078</v>
      </c>
      <c r="H14" s="22">
        <v>0.2175</v>
      </c>
    </row>
    <row r="15" spans="2:22" x14ac:dyDescent="0.25">
      <c r="B15" s="5">
        <v>61.438000000000002</v>
      </c>
      <c r="C15" s="8">
        <v>0.17874599999999999</v>
      </c>
      <c r="E15" s="23" t="str">
        <f t="shared" si="0"/>
        <v>50</v>
      </c>
      <c r="F15" s="11">
        <v>2050</v>
      </c>
      <c r="G15" s="21">
        <v>40.247233002731065</v>
      </c>
      <c r="H15" s="22">
        <v>0.21729999999999999</v>
      </c>
      <c r="N15" s="1">
        <f>SUM(H10:H11)/SUM(H6:H17)</f>
        <v>0.15247494838612213</v>
      </c>
    </row>
    <row r="16" spans="2:22" x14ac:dyDescent="0.25">
      <c r="B16" s="5">
        <v>68.408000000000001</v>
      </c>
      <c r="C16" s="8">
        <v>0.18637899999999999</v>
      </c>
      <c r="E16" s="23" t="str">
        <f t="shared" si="0"/>
        <v>55</v>
      </c>
      <c r="F16" s="11">
        <v>2055</v>
      </c>
      <c r="G16" s="21">
        <v>35.247814807970045</v>
      </c>
      <c r="H16" s="22">
        <v>0.217</v>
      </c>
    </row>
    <row r="17" spans="2:22" x14ac:dyDescent="0.25">
      <c r="B17" s="5">
        <v>58.369</v>
      </c>
      <c r="C17" s="8">
        <v>0.15923000000000001</v>
      </c>
      <c r="E17" s="23" t="str">
        <f t="shared" si="0"/>
        <v>60</v>
      </c>
      <c r="F17" s="11">
        <v>2060</v>
      </c>
      <c r="G17" s="21">
        <v>30.245658706202043</v>
      </c>
      <c r="H17" s="22">
        <v>0.2172</v>
      </c>
    </row>
    <row r="18" spans="2:22" x14ac:dyDescent="0.25">
      <c r="B18" s="5">
        <v>65.049000000000007</v>
      </c>
      <c r="C18" s="8">
        <v>0.14305799999999999</v>
      </c>
      <c r="E18" s="23" t="str">
        <f t="shared" si="0"/>
        <v/>
      </c>
      <c r="F18" s="11"/>
      <c r="G18" s="21"/>
      <c r="H18" s="22"/>
    </row>
    <row r="19" spans="2:22" x14ac:dyDescent="0.25">
      <c r="B19" s="5">
        <v>70.257000000000005</v>
      </c>
      <c r="C19" s="8">
        <v>0.119796</v>
      </c>
      <c r="E19" s="23" t="str">
        <f t="shared" si="0"/>
        <v/>
      </c>
      <c r="F19" s="11"/>
      <c r="G19" s="21"/>
      <c r="H19" s="22"/>
    </row>
    <row r="20" spans="2:22" x14ac:dyDescent="0.25">
      <c r="B20" s="5">
        <v>60.189</v>
      </c>
      <c r="C20" s="8">
        <v>0.15921199999999999</v>
      </c>
      <c r="E20" s="23" t="str">
        <f t="shared" si="0"/>
        <v/>
      </c>
      <c r="F20" s="11"/>
      <c r="G20" s="21"/>
      <c r="H20" s="22"/>
    </row>
    <row r="21" spans="2:22" x14ac:dyDescent="0.25">
      <c r="B21" s="5">
        <v>65.799000000000007</v>
      </c>
      <c r="C21" s="8">
        <v>0.14305499999999999</v>
      </c>
      <c r="E21" s="23" t="str">
        <f t="shared" si="0"/>
        <v/>
      </c>
      <c r="F21" s="11"/>
      <c r="G21" s="21"/>
      <c r="H21" s="22"/>
      <c r="J21" s="58" t="s">
        <v>20</v>
      </c>
      <c r="K21" s="58"/>
      <c r="L21" s="20">
        <v>0.18708</v>
      </c>
    </row>
    <row r="22" spans="2:22" x14ac:dyDescent="0.25">
      <c r="B22" s="5">
        <v>37.292000000000002</v>
      </c>
      <c r="C22" s="8">
        <v>0.24890699999999999</v>
      </c>
    </row>
    <row r="23" spans="2:22" x14ac:dyDescent="0.25">
      <c r="B23" s="5">
        <v>49.517000000000003</v>
      </c>
      <c r="C23" s="8">
        <v>0.208817</v>
      </c>
      <c r="E23" s="51" t="s">
        <v>12</v>
      </c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3"/>
    </row>
    <row r="24" spans="2:22" x14ac:dyDescent="0.25">
      <c r="B24" s="5">
        <v>63.216999999999999</v>
      </c>
      <c r="C24" s="8">
        <v>0.14305300000000001</v>
      </c>
      <c r="E24" s="5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6"/>
    </row>
    <row r="25" spans="2:22" x14ac:dyDescent="0.25">
      <c r="B25" s="5">
        <v>65.418999999999997</v>
      </c>
      <c r="C25" s="8">
        <v>0.14305799999999999</v>
      </c>
      <c r="E25" s="12"/>
      <c r="V25" s="13"/>
    </row>
    <row r="26" spans="2:22" x14ac:dyDescent="0.25">
      <c r="B26" s="5">
        <v>60.006</v>
      </c>
      <c r="C26" s="8">
        <v>0.15923599999999999</v>
      </c>
      <c r="E26" s="12"/>
      <c r="V26" s="13"/>
    </row>
    <row r="27" spans="2:22" x14ac:dyDescent="0.25">
      <c r="B27" s="5">
        <v>38.368000000000002</v>
      </c>
      <c r="C27" s="8">
        <v>0.20594699999999999</v>
      </c>
      <c r="E27" s="12"/>
      <c r="V27" s="13"/>
    </row>
    <row r="28" spans="2:22" x14ac:dyDescent="0.25">
      <c r="B28" s="5">
        <v>52.055</v>
      </c>
      <c r="C28" s="8">
        <v>0.18676000000000001</v>
      </c>
      <c r="E28" s="12"/>
      <c r="V28" s="13"/>
    </row>
    <row r="29" spans="2:22" x14ac:dyDescent="0.25">
      <c r="B29" s="5">
        <v>40.610999999999997</v>
      </c>
      <c r="C29" s="8">
        <v>0.210283</v>
      </c>
      <c r="E29" s="12"/>
      <c r="V29" s="13"/>
    </row>
    <row r="30" spans="2:22" x14ac:dyDescent="0.25">
      <c r="B30" s="5">
        <v>46.408999999999999</v>
      </c>
      <c r="C30" s="8">
        <v>0.248915</v>
      </c>
      <c r="E30" s="12"/>
      <c r="V30" s="13"/>
    </row>
    <row r="31" spans="2:22" x14ac:dyDescent="0.25">
      <c r="B31" s="5">
        <v>48.32</v>
      </c>
      <c r="C31" s="8">
        <v>0.186751</v>
      </c>
      <c r="E31" s="12"/>
      <c r="V31" s="13"/>
    </row>
    <row r="32" spans="2:22" x14ac:dyDescent="0.25">
      <c r="B32" s="5">
        <v>61.741999999999997</v>
      </c>
      <c r="C32" s="8">
        <v>0.16745399999999999</v>
      </c>
      <c r="E32" s="12"/>
      <c r="V32" s="13"/>
    </row>
    <row r="33" spans="2:22" x14ac:dyDescent="0.25">
      <c r="B33" s="5">
        <v>44.192</v>
      </c>
      <c r="C33" s="8">
        <v>0.20019000000000001</v>
      </c>
      <c r="E33" s="12"/>
      <c r="V33" s="13"/>
    </row>
    <row r="34" spans="2:22" x14ac:dyDescent="0.25">
      <c r="B34" s="5">
        <v>68.882000000000005</v>
      </c>
      <c r="C34" s="8">
        <v>0.119795</v>
      </c>
      <c r="E34" s="12"/>
      <c r="V34" s="13"/>
    </row>
    <row r="35" spans="2:22" x14ac:dyDescent="0.25">
      <c r="B35" s="5">
        <v>51.225000000000001</v>
      </c>
      <c r="C35" s="8">
        <v>0.186751</v>
      </c>
      <c r="E35" s="12"/>
      <c r="V35" s="13"/>
    </row>
    <row r="36" spans="2:22" x14ac:dyDescent="0.25">
      <c r="B36" s="5">
        <v>52.744999999999997</v>
      </c>
      <c r="C36" s="8">
        <v>0.18675</v>
      </c>
      <c r="E36" s="12"/>
      <c r="V36" s="13"/>
    </row>
    <row r="37" spans="2:22" x14ac:dyDescent="0.25">
      <c r="B37" s="5">
        <v>39.521000000000001</v>
      </c>
      <c r="C37" s="8">
        <v>0.210284</v>
      </c>
      <c r="E37" s="12"/>
      <c r="V37" s="13"/>
    </row>
    <row r="38" spans="2:22" x14ac:dyDescent="0.25">
      <c r="B38" s="5">
        <v>46.436999999999998</v>
      </c>
      <c r="C38" s="8">
        <v>0.20018900000000001</v>
      </c>
      <c r="E38" s="12"/>
      <c r="V38" s="13"/>
    </row>
    <row r="39" spans="2:22" x14ac:dyDescent="0.25">
      <c r="B39" s="5">
        <v>45.427</v>
      </c>
      <c r="C39" s="8">
        <v>0.20018900000000001</v>
      </c>
      <c r="E39" s="12"/>
      <c r="V39" s="13"/>
    </row>
    <row r="40" spans="2:22" x14ac:dyDescent="0.25">
      <c r="B40" s="5">
        <v>35.392000000000003</v>
      </c>
      <c r="C40" s="8">
        <v>0.21018899999999999</v>
      </c>
      <c r="E40" s="12"/>
      <c r="V40" s="13"/>
    </row>
    <row r="41" spans="2:22" x14ac:dyDescent="0.25">
      <c r="B41" s="5">
        <v>54.267000000000003</v>
      </c>
      <c r="C41" s="8">
        <v>0.172877</v>
      </c>
      <c r="E41" s="12"/>
      <c r="V41" s="13"/>
    </row>
    <row r="42" spans="2:22" x14ac:dyDescent="0.25">
      <c r="B42" s="5">
        <v>45.283999999999999</v>
      </c>
      <c r="C42" s="8">
        <v>0.200206</v>
      </c>
      <c r="E42" s="12"/>
      <c r="V42" s="13"/>
    </row>
    <row r="43" spans="2:22" x14ac:dyDescent="0.25">
      <c r="B43" s="5">
        <v>71.363</v>
      </c>
      <c r="C43" s="8">
        <v>0.119795</v>
      </c>
      <c r="E43" s="12"/>
      <c r="V43" s="13"/>
    </row>
    <row r="44" spans="2:22" x14ac:dyDescent="0.25">
      <c r="B44" s="5">
        <v>49.484000000000002</v>
      </c>
      <c r="C44" s="8">
        <v>0.186972</v>
      </c>
      <c r="E44" s="14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15"/>
    </row>
    <row r="45" spans="2:22" x14ac:dyDescent="0.25">
      <c r="B45" s="5">
        <v>57.850999999999999</v>
      </c>
      <c r="C45" s="8">
        <v>0.15923499999999999</v>
      </c>
    </row>
    <row r="46" spans="2:22" x14ac:dyDescent="0.25">
      <c r="B46" s="5">
        <v>36.027000000000001</v>
      </c>
      <c r="C46" s="8">
        <v>0.21030799999999999</v>
      </c>
    </row>
    <row r="47" spans="2:22" x14ac:dyDescent="0.25">
      <c r="B47" s="5">
        <v>60.131999999999998</v>
      </c>
      <c r="C47" s="8">
        <v>0.157661</v>
      </c>
    </row>
    <row r="48" spans="2:22" x14ac:dyDescent="0.25">
      <c r="B48" s="5">
        <v>54.540999999999997</v>
      </c>
      <c r="C48" s="8">
        <v>0.19303200000000001</v>
      </c>
    </row>
    <row r="49" spans="2:3" x14ac:dyDescent="0.25">
      <c r="B49" s="5">
        <v>40.244</v>
      </c>
      <c r="C49" s="8">
        <v>0.21030199999999999</v>
      </c>
    </row>
    <row r="50" spans="2:3" x14ac:dyDescent="0.25">
      <c r="B50" s="5">
        <v>43.795000000000002</v>
      </c>
      <c r="C50" s="8">
        <v>0.22641900000000001</v>
      </c>
    </row>
    <row r="51" spans="2:3" x14ac:dyDescent="0.25">
      <c r="B51" s="5">
        <v>63.518999999999998</v>
      </c>
      <c r="C51" s="8">
        <v>0.14306099999999999</v>
      </c>
    </row>
    <row r="52" spans="2:3" x14ac:dyDescent="0.25">
      <c r="B52" s="5">
        <v>51.548000000000002</v>
      </c>
      <c r="C52" s="8">
        <v>0.18670500000000001</v>
      </c>
    </row>
    <row r="53" spans="2:3" x14ac:dyDescent="0.25">
      <c r="B53" s="5">
        <v>33.295000000000002</v>
      </c>
      <c r="C53" s="8">
        <v>0.22217500000000001</v>
      </c>
    </row>
    <row r="54" spans="2:3" x14ac:dyDescent="0.25">
      <c r="B54" s="5">
        <v>46.91</v>
      </c>
      <c r="C54" s="8">
        <v>0.20019600000000001</v>
      </c>
    </row>
    <row r="55" spans="2:3" x14ac:dyDescent="0.25">
      <c r="B55" s="5">
        <v>43.295999999999999</v>
      </c>
      <c r="C55" s="8">
        <v>0.200188</v>
      </c>
    </row>
    <row r="56" spans="2:3" x14ac:dyDescent="0.25">
      <c r="B56" s="5">
        <v>63.872</v>
      </c>
      <c r="C56" s="8">
        <v>0.14666499999999999</v>
      </c>
    </row>
    <row r="57" spans="2:3" x14ac:dyDescent="0.25">
      <c r="B57" s="5">
        <v>46.776000000000003</v>
      </c>
      <c r="C57" s="8">
        <v>0.200184</v>
      </c>
    </row>
    <row r="58" spans="2:3" x14ac:dyDescent="0.25">
      <c r="B58" s="5">
        <v>55.59</v>
      </c>
      <c r="C58" s="8">
        <v>0.172877</v>
      </c>
    </row>
    <row r="59" spans="2:3" x14ac:dyDescent="0.25">
      <c r="B59" s="5">
        <v>37.988</v>
      </c>
      <c r="C59" s="8">
        <v>0.210283</v>
      </c>
    </row>
    <row r="60" spans="2:3" x14ac:dyDescent="0.25">
      <c r="B60" s="5">
        <v>60.011000000000003</v>
      </c>
      <c r="C60" s="8">
        <v>0.226577</v>
      </c>
    </row>
    <row r="61" spans="2:3" x14ac:dyDescent="0.25">
      <c r="B61" s="5">
        <v>47.072000000000003</v>
      </c>
      <c r="C61" s="8">
        <v>0.20019000000000001</v>
      </c>
    </row>
    <row r="62" spans="2:3" x14ac:dyDescent="0.25">
      <c r="B62" s="5">
        <v>44.942</v>
      </c>
      <c r="C62" s="8">
        <v>0.20018900000000001</v>
      </c>
    </row>
    <row r="63" spans="2:3" x14ac:dyDescent="0.25">
      <c r="B63" s="5">
        <v>60.793999999999997</v>
      </c>
      <c r="C63" s="8">
        <v>2.0400000000000001E-3</v>
      </c>
    </row>
    <row r="64" spans="2:3" x14ac:dyDescent="0.25">
      <c r="B64" s="5">
        <v>68.028000000000006</v>
      </c>
      <c r="C64" s="8">
        <v>0.119795</v>
      </c>
    </row>
    <row r="65" spans="2:3" x14ac:dyDescent="0.25">
      <c r="B65" s="5">
        <v>51.345999999999997</v>
      </c>
      <c r="C65" s="8">
        <v>0.18675</v>
      </c>
    </row>
    <row r="66" spans="2:3" x14ac:dyDescent="0.25">
      <c r="B66" s="5">
        <v>52.709000000000003</v>
      </c>
      <c r="C66" s="8">
        <v>0.186746</v>
      </c>
    </row>
    <row r="67" spans="2:3" x14ac:dyDescent="0.25">
      <c r="B67" s="5">
        <v>46.548999999999999</v>
      </c>
      <c r="C67" s="8">
        <v>0.200185</v>
      </c>
    </row>
    <row r="68" spans="2:3" x14ac:dyDescent="0.25">
      <c r="B68" s="5">
        <v>42.485999999999997</v>
      </c>
      <c r="C68" s="8">
        <v>0.24890599999999999</v>
      </c>
    </row>
    <row r="69" spans="2:3" x14ac:dyDescent="0.25">
      <c r="B69" s="5">
        <v>68.287999999999997</v>
      </c>
      <c r="C69" s="8">
        <v>0.243253</v>
      </c>
    </row>
    <row r="70" spans="2:3" x14ac:dyDescent="0.25">
      <c r="B70" s="5">
        <v>45.484000000000002</v>
      </c>
      <c r="C70" s="8">
        <v>0.20014999999999999</v>
      </c>
    </row>
    <row r="71" spans="2:3" x14ac:dyDescent="0.25">
      <c r="B71" s="5">
        <v>57.845999999999997</v>
      </c>
      <c r="C71" s="8">
        <v>0.17863599999999999</v>
      </c>
    </row>
    <row r="72" spans="2:3" x14ac:dyDescent="0.25">
      <c r="B72" s="5">
        <v>51.088000000000001</v>
      </c>
      <c r="C72" s="8">
        <v>0.187083</v>
      </c>
    </row>
    <row r="73" spans="2:3" x14ac:dyDescent="0.25">
      <c r="B73" s="5">
        <v>44.006</v>
      </c>
      <c r="C73" s="8">
        <v>4.7050000000000002E-2</v>
      </c>
    </row>
    <row r="74" spans="2:3" x14ac:dyDescent="0.25">
      <c r="B74" s="5">
        <v>48.89</v>
      </c>
      <c r="C74" s="8">
        <v>0.18784400000000001</v>
      </c>
    </row>
    <row r="75" spans="2:3" x14ac:dyDescent="0.25">
      <c r="B75" s="5">
        <v>39.277000000000001</v>
      </c>
      <c r="C75" s="8">
        <v>0.210283</v>
      </c>
    </row>
    <row r="76" spans="2:3" x14ac:dyDescent="0.25">
      <c r="B76" s="5">
        <v>67.497</v>
      </c>
      <c r="C76" s="8">
        <v>0.18214</v>
      </c>
    </row>
    <row r="77" spans="2:3" x14ac:dyDescent="0.25">
      <c r="B77" s="5">
        <v>43.427999999999997</v>
      </c>
      <c r="C77" s="8">
        <v>0.200188</v>
      </c>
    </row>
    <row r="78" spans="2:3" x14ac:dyDescent="0.25">
      <c r="B78" s="5">
        <v>40.386000000000003</v>
      </c>
      <c r="C78" s="8">
        <v>0.210283</v>
      </c>
    </row>
    <row r="79" spans="2:3" x14ac:dyDescent="0.25">
      <c r="B79" s="5">
        <v>43.491</v>
      </c>
      <c r="C79" s="8">
        <v>0.243921</v>
      </c>
    </row>
    <row r="80" spans="2:3" x14ac:dyDescent="0.25">
      <c r="B80" s="5">
        <v>60.176000000000002</v>
      </c>
      <c r="C80" s="8">
        <v>0.24889600000000001</v>
      </c>
    </row>
    <row r="81" spans="2:3" x14ac:dyDescent="0.25">
      <c r="B81" s="5">
        <v>32.423999999999999</v>
      </c>
      <c r="C81" s="8">
        <v>0.21033299999999999</v>
      </c>
    </row>
    <row r="82" spans="2:3" x14ac:dyDescent="0.25">
      <c r="B82" s="5">
        <v>33.119999999999997</v>
      </c>
      <c r="C82" s="8">
        <v>0.246036</v>
      </c>
    </row>
    <row r="83" spans="2:3" x14ac:dyDescent="0.25">
      <c r="B83" s="5">
        <v>39.293999999999997</v>
      </c>
      <c r="C83" s="8">
        <v>0.210314</v>
      </c>
    </row>
    <row r="84" spans="2:3" x14ac:dyDescent="0.25">
      <c r="B84" s="5">
        <v>64.832999999999998</v>
      </c>
      <c r="C84" s="8">
        <v>0.110607</v>
      </c>
    </row>
    <row r="85" spans="2:3" x14ac:dyDescent="0.25">
      <c r="B85" s="5">
        <v>60.173000000000002</v>
      </c>
      <c r="C85" s="8">
        <v>0.21395500000000001</v>
      </c>
    </row>
    <row r="86" spans="2:3" x14ac:dyDescent="0.25">
      <c r="B86" s="5">
        <v>50.902000000000001</v>
      </c>
      <c r="C86" s="8">
        <v>0.18671199999999999</v>
      </c>
    </row>
    <row r="87" spans="2:3" x14ac:dyDescent="0.25">
      <c r="B87" s="5">
        <v>49.844999999999999</v>
      </c>
      <c r="C87" s="8">
        <v>0.145953</v>
      </c>
    </row>
    <row r="88" spans="2:3" x14ac:dyDescent="0.25">
      <c r="B88" s="5">
        <v>66.686000000000007</v>
      </c>
      <c r="C88" s="8">
        <v>0.14305599999999999</v>
      </c>
    </row>
    <row r="89" spans="2:3" x14ac:dyDescent="0.25">
      <c r="B89" s="5">
        <v>40.008000000000003</v>
      </c>
      <c r="C89" s="8">
        <v>0.21029200000000001</v>
      </c>
    </row>
    <row r="90" spans="2:3" x14ac:dyDescent="0.25">
      <c r="B90" s="5">
        <v>67.061000000000007</v>
      </c>
      <c r="C90" s="8">
        <v>0.111078</v>
      </c>
    </row>
    <row r="91" spans="2:3" x14ac:dyDescent="0.25">
      <c r="B91" s="5">
        <v>53.335999999999999</v>
      </c>
      <c r="C91" s="8">
        <v>0.172876</v>
      </c>
    </row>
    <row r="92" spans="2:3" x14ac:dyDescent="0.25">
      <c r="B92" s="5">
        <v>47.822000000000003</v>
      </c>
      <c r="C92" s="8">
        <v>0.18675</v>
      </c>
    </row>
    <row r="93" spans="2:3" x14ac:dyDescent="0.25">
      <c r="B93" s="5">
        <v>61.747</v>
      </c>
      <c r="C93" s="8">
        <v>0.158776</v>
      </c>
    </row>
    <row r="94" spans="2:3" x14ac:dyDescent="0.25">
      <c r="B94" s="5">
        <v>42.869</v>
      </c>
      <c r="C94" s="8">
        <v>0.200188</v>
      </c>
    </row>
    <row r="95" spans="2:3" x14ac:dyDescent="0.25">
      <c r="B95" s="5">
        <v>42.344000000000001</v>
      </c>
      <c r="C95" s="8">
        <v>0.196911</v>
      </c>
    </row>
    <row r="96" spans="2:3" x14ac:dyDescent="0.25">
      <c r="B96" s="5">
        <v>59.371000000000002</v>
      </c>
      <c r="C96" s="8">
        <v>0.16717799999999999</v>
      </c>
    </row>
    <row r="97" spans="2:3" x14ac:dyDescent="0.25">
      <c r="B97" s="5">
        <v>32.15</v>
      </c>
      <c r="C97" s="8">
        <v>0.210261</v>
      </c>
    </row>
    <row r="98" spans="2:3" x14ac:dyDescent="0.25">
      <c r="B98" s="5">
        <v>39.698999999999998</v>
      </c>
      <c r="C98" s="8">
        <v>0.23621900000000001</v>
      </c>
    </row>
    <row r="99" spans="2:3" x14ac:dyDescent="0.25">
      <c r="B99" s="5">
        <v>36.901000000000003</v>
      </c>
      <c r="C99" s="8">
        <v>0.210396</v>
      </c>
    </row>
    <row r="100" spans="2:3" x14ac:dyDescent="0.25">
      <c r="B100" s="5">
        <v>71.385000000000005</v>
      </c>
      <c r="C100" s="8">
        <v>0.16609399999999999</v>
      </c>
    </row>
    <row r="101" spans="2:3" x14ac:dyDescent="0.25">
      <c r="B101" s="5">
        <v>67.516000000000005</v>
      </c>
      <c r="C101" s="8">
        <v>0.14305699999999999</v>
      </c>
    </row>
    <row r="102" spans="2:3" x14ac:dyDescent="0.25">
      <c r="B102" s="5">
        <v>43.198</v>
      </c>
      <c r="C102" s="8">
        <v>0.20018900000000001</v>
      </c>
    </row>
    <row r="103" spans="2:3" x14ac:dyDescent="0.25">
      <c r="B103" s="5">
        <v>34.25</v>
      </c>
      <c r="C103" s="8">
        <v>0.210421</v>
      </c>
    </row>
    <row r="104" spans="2:3" x14ac:dyDescent="0.25">
      <c r="B104" s="2">
        <v>33.472999999999999</v>
      </c>
      <c r="C104" s="6">
        <v>0.21032300000000001</v>
      </c>
    </row>
    <row r="105" spans="2:3" x14ac:dyDescent="0.25">
      <c r="B105" s="2">
        <v>59.02</v>
      </c>
      <c r="C105" s="6">
        <v>0.15923499999999999</v>
      </c>
    </row>
    <row r="106" spans="2:3" x14ac:dyDescent="0.25">
      <c r="B106" s="2">
        <v>47.472000000000001</v>
      </c>
      <c r="C106" s="6">
        <v>0.238066</v>
      </c>
    </row>
    <row r="107" spans="2:3" x14ac:dyDescent="0.25">
      <c r="B107" s="2">
        <v>39.877000000000002</v>
      </c>
      <c r="C107" s="6">
        <v>0.210284</v>
      </c>
    </row>
    <row r="108" spans="2:3" x14ac:dyDescent="0.25">
      <c r="B108" s="2">
        <v>63.167999999999999</v>
      </c>
      <c r="C108" s="6">
        <v>0.15923499999999999</v>
      </c>
    </row>
    <row r="109" spans="2:3" x14ac:dyDescent="0.25">
      <c r="B109" s="2">
        <v>74.864000000000004</v>
      </c>
      <c r="C109" s="6">
        <v>0.102991</v>
      </c>
    </row>
    <row r="110" spans="2:3" x14ac:dyDescent="0.25">
      <c r="B110" s="2">
        <v>36.148000000000003</v>
      </c>
      <c r="C110" s="6">
        <v>0.210315</v>
      </c>
    </row>
    <row r="111" spans="2:3" x14ac:dyDescent="0.25">
      <c r="B111" s="2">
        <v>66.774000000000001</v>
      </c>
      <c r="C111" s="6">
        <v>0.14305899999999999</v>
      </c>
    </row>
    <row r="112" spans="2:3" x14ac:dyDescent="0.25">
      <c r="B112" s="2">
        <v>51.238999999999997</v>
      </c>
      <c r="C112" s="6">
        <v>0.24887899999999999</v>
      </c>
    </row>
    <row r="113" spans="2:3" x14ac:dyDescent="0.25">
      <c r="B113" s="2">
        <v>41.744</v>
      </c>
      <c r="C113" s="6">
        <v>0.210285</v>
      </c>
    </row>
    <row r="114" spans="2:3" x14ac:dyDescent="0.25">
      <c r="B114" s="2">
        <v>44.83</v>
      </c>
      <c r="C114" s="6">
        <v>0.218447</v>
      </c>
    </row>
    <row r="115" spans="2:3" x14ac:dyDescent="0.25">
      <c r="B115" s="2">
        <v>41.142000000000003</v>
      </c>
      <c r="C115" s="6">
        <v>0.21027399999999999</v>
      </c>
    </row>
    <row r="116" spans="2:3" x14ac:dyDescent="0.25">
      <c r="B116" s="2">
        <v>62.674999999999997</v>
      </c>
      <c r="C116" s="6">
        <v>0.15923399999999999</v>
      </c>
    </row>
    <row r="117" spans="2:3" x14ac:dyDescent="0.25">
      <c r="B117" s="2">
        <v>67.116</v>
      </c>
      <c r="C117" s="6">
        <v>0.14305799999999999</v>
      </c>
    </row>
    <row r="118" spans="2:3" x14ac:dyDescent="0.25">
      <c r="B118" s="2">
        <v>53.234999999999999</v>
      </c>
      <c r="C118" s="6">
        <v>0.172877</v>
      </c>
    </row>
    <row r="119" spans="2:3" x14ac:dyDescent="0.25">
      <c r="B119" s="2">
        <v>48.463000000000001</v>
      </c>
      <c r="C119" s="6">
        <v>0.232045</v>
      </c>
    </row>
    <row r="120" spans="2:3" x14ac:dyDescent="0.25">
      <c r="B120" s="2">
        <v>46.122</v>
      </c>
      <c r="C120" s="6">
        <v>0.200188</v>
      </c>
    </row>
    <row r="121" spans="2:3" x14ac:dyDescent="0.25">
      <c r="B121" s="2">
        <v>44.142000000000003</v>
      </c>
      <c r="C121" s="6">
        <v>0.200188</v>
      </c>
    </row>
    <row r="122" spans="2:3" x14ac:dyDescent="0.25">
      <c r="B122" s="2">
        <v>59.186999999999998</v>
      </c>
      <c r="C122" s="6">
        <v>0.19278500000000001</v>
      </c>
    </row>
  </sheetData>
  <mergeCells count="6">
    <mergeCell ref="E23:V24"/>
    <mergeCell ref="B4:C4"/>
    <mergeCell ref="E4:H4"/>
    <mergeCell ref="J4:L4"/>
    <mergeCell ref="N4:V4"/>
    <mergeCell ref="J21:K21"/>
  </mergeCells>
  <pageMargins left="0.7" right="0.7" top="0.75" bottom="0.75" header="0.3" footer="0.3"/>
  <pageSetup orientation="portrait" r:id="rId1"/>
  <headerFooter>
    <oddFooter>&amp;L_x000D_&amp;1#&amp;"Calibri"&amp;10&amp;K000000 Fidelity Internal Information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09FB-3666-42AF-B854-9544B2A332FD}">
  <dimension ref="B1:W122"/>
  <sheetViews>
    <sheetView workbookViewId="0">
      <selection activeCell="A16" sqref="A16"/>
    </sheetView>
  </sheetViews>
  <sheetFormatPr defaultColWidth="9.140625" defaultRowHeight="15" x14ac:dyDescent="0.25"/>
  <cols>
    <col min="1" max="1" width="1.7109375" style="1" customWidth="1"/>
    <col min="2" max="2" width="9.140625" style="2"/>
    <col min="3" max="3" width="9.140625" style="6"/>
    <col min="4" max="4" width="1.7109375" style="1" customWidth="1"/>
    <col min="5" max="5" width="6.140625" style="1" customWidth="1"/>
    <col min="6" max="6" width="7.5703125" style="1" customWidth="1"/>
    <col min="7" max="8" width="9.140625" style="1"/>
    <col min="9" max="9" width="1.7109375" style="1" customWidth="1"/>
    <col min="10" max="11" width="8.7109375" style="1" customWidth="1"/>
    <col min="12" max="12" width="14.7109375" style="1" hidden="1" customWidth="1"/>
    <col min="13" max="17" width="8.7109375" style="1" customWidth="1"/>
    <col min="18" max="18" width="8.7109375" style="1" hidden="1" customWidth="1"/>
    <col min="19" max="19" width="8.7109375" style="1" customWidth="1"/>
    <col min="20" max="20" width="57.85546875" style="1" bestFit="1" customWidth="1"/>
    <col min="21" max="16384" width="9.140625" style="1"/>
  </cols>
  <sheetData>
    <row r="1" spans="2:20" ht="12" customHeight="1" x14ac:dyDescent="0.25"/>
    <row r="2" spans="2:20" ht="26.25" x14ac:dyDescent="0.4">
      <c r="B2" s="3" t="s">
        <v>50</v>
      </c>
    </row>
    <row r="3" spans="2:20" ht="12" customHeight="1" x14ac:dyDescent="0.25"/>
    <row r="4" spans="2:20" x14ac:dyDescent="0.25">
      <c r="B4" s="57" t="s">
        <v>2</v>
      </c>
      <c r="C4" s="57"/>
      <c r="E4" s="59" t="s">
        <v>5</v>
      </c>
      <c r="F4" s="60"/>
      <c r="G4" s="60"/>
      <c r="H4" s="61"/>
      <c r="J4" s="58" t="s">
        <v>18</v>
      </c>
      <c r="K4" s="58"/>
      <c r="L4" s="58"/>
      <c r="M4" s="58"/>
      <c r="N4" s="58"/>
      <c r="O4" s="58"/>
      <c r="P4" s="58"/>
      <c r="Q4" s="58"/>
      <c r="R4" s="58"/>
      <c r="S4" s="58"/>
    </row>
    <row r="5" spans="2:20" x14ac:dyDescent="0.25">
      <c r="B5" s="70" t="s">
        <v>82</v>
      </c>
      <c r="C5" s="69" t="s">
        <v>81</v>
      </c>
      <c r="E5" s="62" t="s">
        <v>23</v>
      </c>
      <c r="F5" s="62" t="s">
        <v>3</v>
      </c>
      <c r="G5" s="62" t="s">
        <v>83</v>
      </c>
      <c r="H5" s="62" t="s">
        <v>84</v>
      </c>
      <c r="J5" s="28" t="s">
        <v>51</v>
      </c>
      <c r="K5" s="28" t="s">
        <v>52</v>
      </c>
      <c r="L5" s="18" t="s">
        <v>21</v>
      </c>
      <c r="M5" s="18" t="s">
        <v>7</v>
      </c>
      <c r="N5" s="18" t="s">
        <v>8</v>
      </c>
      <c r="O5" s="18" t="s">
        <v>9</v>
      </c>
      <c r="P5" s="18" t="s">
        <v>10</v>
      </c>
      <c r="Q5" s="18" t="s">
        <v>11</v>
      </c>
      <c r="R5" s="18" t="s">
        <v>22</v>
      </c>
      <c r="S5" s="18" t="s">
        <v>13</v>
      </c>
    </row>
    <row r="6" spans="2:20" x14ac:dyDescent="0.25">
      <c r="B6" s="5">
        <v>0.11600100000000001</v>
      </c>
      <c r="C6" s="8">
        <v>0.20018900000000001</v>
      </c>
      <c r="E6" s="23" t="str">
        <f t="shared" ref="E6:E21" si="0">IF(F6&lt;&gt;"",IF(F6&gt;0,TEXT(RIGHT(F6,2),"00"),"IN"),"")</f>
        <v>IN</v>
      </c>
      <c r="F6" s="11">
        <v>0</v>
      </c>
      <c r="G6" s="16">
        <v>5.9900000000000002E-2</v>
      </c>
      <c r="H6" s="16">
        <v>8.2799999999999999E-2</v>
      </c>
      <c r="J6" s="27" t="s">
        <v>53</v>
      </c>
      <c r="K6" s="27" t="s">
        <v>54</v>
      </c>
      <c r="L6" s="10">
        <v>65535</v>
      </c>
      <c r="M6" s="16">
        <v>0.14285714285714285</v>
      </c>
      <c r="N6" s="16">
        <v>3.0303030303030304E-2</v>
      </c>
      <c r="O6" s="16">
        <v>8.8235294117647065E-2</v>
      </c>
      <c r="P6" s="16">
        <v>0.52173913043478259</v>
      </c>
      <c r="Q6" s="16">
        <v>0.05</v>
      </c>
      <c r="R6" s="16">
        <v>65535</v>
      </c>
      <c r="S6" s="16">
        <v>0.15384615384615385</v>
      </c>
    </row>
    <row r="7" spans="2:20" x14ac:dyDescent="0.25">
      <c r="B7" s="5">
        <v>0.11600199999999999</v>
      </c>
      <c r="C7" s="8">
        <v>0.20019000000000001</v>
      </c>
      <c r="E7" s="23" t="str">
        <f t="shared" si="0"/>
        <v>10</v>
      </c>
      <c r="F7" s="11">
        <v>2010</v>
      </c>
      <c r="G7" s="16">
        <v>6.9199999999999998E-2</v>
      </c>
      <c r="H7" s="16">
        <v>9.7900000000000001E-2</v>
      </c>
      <c r="J7" s="27" t="s">
        <v>53</v>
      </c>
      <c r="K7" s="27" t="s">
        <v>53</v>
      </c>
      <c r="L7" s="10">
        <v>65535</v>
      </c>
      <c r="M7" s="16">
        <v>0.7142857142857143</v>
      </c>
      <c r="N7" s="16">
        <v>0.81818181818181823</v>
      </c>
      <c r="O7" s="16">
        <v>0.79411764705882348</v>
      </c>
      <c r="P7" s="16">
        <v>0.21739130434782608</v>
      </c>
      <c r="Q7" s="16">
        <v>0.7</v>
      </c>
      <c r="R7" s="16">
        <v>65535</v>
      </c>
      <c r="S7" s="16">
        <v>0.66666666666666663</v>
      </c>
    </row>
    <row r="8" spans="2:20" x14ac:dyDescent="0.25">
      <c r="B8" s="5">
        <v>0.116003</v>
      </c>
      <c r="C8" s="8">
        <v>0.200184</v>
      </c>
      <c r="E8" s="23" t="str">
        <f t="shared" si="0"/>
        <v>15</v>
      </c>
      <c r="F8" s="11">
        <v>2015</v>
      </c>
      <c r="G8" s="16">
        <v>7.9699999999999993E-2</v>
      </c>
      <c r="H8" s="16">
        <v>0.1144</v>
      </c>
      <c r="J8" s="27" t="s">
        <v>54</v>
      </c>
      <c r="K8" s="27" t="s">
        <v>54</v>
      </c>
      <c r="L8" s="10">
        <v>65535</v>
      </c>
      <c r="M8" s="16">
        <v>0.14285714285714285</v>
      </c>
      <c r="N8" s="16">
        <v>0.15151515151515152</v>
      </c>
      <c r="O8" s="16">
        <v>0.11764705882352941</v>
      </c>
      <c r="P8" s="16">
        <v>0.2608695652173913</v>
      </c>
      <c r="Q8" s="16">
        <v>0.25</v>
      </c>
      <c r="R8" s="16">
        <v>65535</v>
      </c>
      <c r="S8" s="16">
        <v>0.17948717948717949</v>
      </c>
    </row>
    <row r="9" spans="2:20" x14ac:dyDescent="0.25">
      <c r="B9" s="5">
        <v>0.133045</v>
      </c>
      <c r="C9" s="8">
        <v>0.23621900000000001</v>
      </c>
      <c r="E9" s="23" t="str">
        <f t="shared" si="0"/>
        <v>20</v>
      </c>
      <c r="F9" s="11">
        <v>2020</v>
      </c>
      <c r="G9" s="16">
        <v>9.0399999999999994E-2</v>
      </c>
      <c r="H9" s="16">
        <v>0.13109999999999999</v>
      </c>
      <c r="J9" s="27" t="s">
        <v>54</v>
      </c>
      <c r="K9" s="27" t="s">
        <v>53</v>
      </c>
      <c r="L9" s="10">
        <v>65535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65535</v>
      </c>
      <c r="S9" s="16">
        <v>0</v>
      </c>
    </row>
    <row r="10" spans="2:20" x14ac:dyDescent="0.25">
      <c r="B10" s="5">
        <v>0.108056</v>
      </c>
      <c r="C10" s="8">
        <v>0.17863599999999999</v>
      </c>
      <c r="E10" s="23" t="str">
        <f t="shared" si="0"/>
        <v>25</v>
      </c>
      <c r="F10" s="11">
        <v>2025</v>
      </c>
      <c r="G10" s="16">
        <v>9.8100000000000007E-2</v>
      </c>
      <c r="H10" s="16">
        <v>0.14499999999999999</v>
      </c>
    </row>
    <row r="11" spans="2:20" x14ac:dyDescent="0.25">
      <c r="B11" s="5">
        <v>0.10112699999999999</v>
      </c>
      <c r="C11" s="8">
        <v>0.16745399999999999</v>
      </c>
      <c r="E11" s="23" t="str">
        <f t="shared" si="0"/>
        <v>30</v>
      </c>
      <c r="F11" s="11">
        <v>2030</v>
      </c>
      <c r="G11" s="16">
        <v>0.10349999999999999</v>
      </c>
      <c r="H11" s="16">
        <v>0.1578</v>
      </c>
      <c r="J11" s="74" t="s">
        <v>85</v>
      </c>
      <c r="K11" s="75"/>
      <c r="L11" s="75"/>
      <c r="M11" s="75"/>
      <c r="N11" s="76"/>
      <c r="O11" s="72"/>
      <c r="P11" s="73" t="s">
        <v>89</v>
      </c>
      <c r="Q11" s="73"/>
      <c r="R11" s="73"/>
      <c r="S11" s="73"/>
      <c r="T11" s="71" t="s">
        <v>96</v>
      </c>
    </row>
    <row r="12" spans="2:20" x14ac:dyDescent="0.25">
      <c r="B12" s="5">
        <v>7.5448000000000001E-2</v>
      </c>
      <c r="C12" s="8">
        <v>0.119795</v>
      </c>
      <c r="E12" s="23" t="str">
        <f t="shared" si="0"/>
        <v>35</v>
      </c>
      <c r="F12" s="11">
        <v>2035</v>
      </c>
      <c r="G12" s="16">
        <v>0.1125</v>
      </c>
      <c r="H12" s="16">
        <v>0.1804</v>
      </c>
      <c r="J12" s="77" t="s">
        <v>87</v>
      </c>
      <c r="K12" s="77"/>
      <c r="L12" s="77"/>
      <c r="M12" s="77"/>
      <c r="N12" s="77"/>
      <c r="P12" s="73" t="s">
        <v>90</v>
      </c>
      <c r="Q12" s="73"/>
      <c r="R12" s="73"/>
      <c r="S12" s="73"/>
      <c r="T12" s="71" t="s">
        <v>93</v>
      </c>
    </row>
    <row r="13" spans="2:20" x14ac:dyDescent="0.25">
      <c r="B13" s="5">
        <v>0.103614</v>
      </c>
      <c r="C13" s="8">
        <v>0.172876</v>
      </c>
      <c r="E13" s="23" t="str">
        <f t="shared" si="0"/>
        <v>40</v>
      </c>
      <c r="F13" s="11">
        <v>2040</v>
      </c>
      <c r="G13" s="16">
        <v>0.1245</v>
      </c>
      <c r="H13" s="16">
        <v>0.20749999999999999</v>
      </c>
      <c r="J13" s="78" t="s">
        <v>86</v>
      </c>
      <c r="K13" s="79"/>
      <c r="L13" s="79"/>
      <c r="M13" s="79"/>
      <c r="N13" s="80"/>
      <c r="P13" s="73" t="s">
        <v>91</v>
      </c>
      <c r="Q13" s="73"/>
      <c r="R13" s="73"/>
      <c r="S13" s="73"/>
      <c r="T13" s="71" t="s">
        <v>95</v>
      </c>
    </row>
    <row r="14" spans="2:20" x14ac:dyDescent="0.25">
      <c r="B14" s="5">
        <v>0.11600199999999999</v>
      </c>
      <c r="C14" s="8">
        <v>0.20018900000000001</v>
      </c>
      <c r="E14" s="23" t="str">
        <f t="shared" si="0"/>
        <v>45</v>
      </c>
      <c r="F14" s="11">
        <v>2045</v>
      </c>
      <c r="G14" s="16">
        <v>0.1283</v>
      </c>
      <c r="H14" s="16">
        <v>0.2175</v>
      </c>
      <c r="J14" s="74" t="s">
        <v>88</v>
      </c>
      <c r="K14" s="75"/>
      <c r="L14" s="75"/>
      <c r="M14" s="75"/>
      <c r="N14" s="76"/>
      <c r="P14" s="73" t="s">
        <v>92</v>
      </c>
      <c r="Q14" s="73"/>
      <c r="R14" s="73"/>
      <c r="S14" s="73"/>
      <c r="T14" s="71" t="s">
        <v>94</v>
      </c>
    </row>
    <row r="15" spans="2:20" x14ac:dyDescent="0.25">
      <c r="B15" s="5">
        <v>0.116006</v>
      </c>
      <c r="C15" s="8">
        <v>0.200185</v>
      </c>
      <c r="E15" s="23" t="str">
        <f t="shared" si="0"/>
        <v>50</v>
      </c>
      <c r="F15" s="11">
        <v>2050</v>
      </c>
      <c r="G15" s="16">
        <v>0.12759999999999999</v>
      </c>
      <c r="H15" s="16">
        <v>0.21729999999999999</v>
      </c>
    </row>
    <row r="16" spans="2:20" x14ac:dyDescent="0.25">
      <c r="B16" s="5">
        <v>0.120362</v>
      </c>
      <c r="C16" s="8">
        <v>0.210284</v>
      </c>
      <c r="E16" s="23" t="str">
        <f t="shared" si="0"/>
        <v>55</v>
      </c>
      <c r="F16" s="11">
        <v>2055</v>
      </c>
      <c r="G16" s="16">
        <v>0.12790000000000001</v>
      </c>
      <c r="H16" s="16">
        <v>0.217</v>
      </c>
    </row>
    <row r="17" spans="2:23" x14ac:dyDescent="0.25">
      <c r="B17" s="5">
        <v>0.11600199999999999</v>
      </c>
      <c r="C17" s="8">
        <v>0.200188</v>
      </c>
      <c r="E17" s="23" t="str">
        <f t="shared" si="0"/>
        <v>60</v>
      </c>
      <c r="F17" s="11">
        <v>2060</v>
      </c>
      <c r="G17" s="16">
        <v>0.1278</v>
      </c>
      <c r="H17" s="16">
        <v>0.2172</v>
      </c>
    </row>
    <row r="18" spans="2:23" x14ac:dyDescent="0.25">
      <c r="B18" s="5">
        <v>9.7251000000000004E-2</v>
      </c>
      <c r="C18" s="8">
        <v>0.15923000000000001</v>
      </c>
      <c r="E18" s="23" t="str">
        <f t="shared" si="0"/>
        <v/>
      </c>
      <c r="F18" s="11"/>
      <c r="G18" s="16"/>
      <c r="H18" s="16"/>
    </row>
    <row r="19" spans="2:23" x14ac:dyDescent="0.25">
      <c r="B19" s="5">
        <v>0.163327</v>
      </c>
      <c r="C19" s="8">
        <v>0.21395500000000001</v>
      </c>
      <c r="E19" s="23" t="str">
        <f t="shared" si="0"/>
        <v/>
      </c>
      <c r="F19" s="11"/>
      <c r="G19" s="16"/>
      <c r="H19" s="16"/>
    </row>
    <row r="20" spans="2:23" x14ac:dyDescent="0.25">
      <c r="B20" s="5">
        <v>0.12121</v>
      </c>
      <c r="C20" s="8">
        <v>0.20594699999999999</v>
      </c>
      <c r="E20" s="23" t="str">
        <f t="shared" si="0"/>
        <v/>
      </c>
      <c r="F20" s="11"/>
      <c r="G20" s="16"/>
      <c r="H20" s="16"/>
    </row>
    <row r="21" spans="2:23" x14ac:dyDescent="0.25">
      <c r="B21" s="5">
        <v>6.5919000000000005E-2</v>
      </c>
      <c r="C21" s="8">
        <v>0.102991</v>
      </c>
      <c r="E21" s="23" t="str">
        <f t="shared" si="0"/>
        <v/>
      </c>
      <c r="F21" s="11"/>
      <c r="G21" s="16"/>
      <c r="H21" s="16"/>
    </row>
    <row r="22" spans="2:23" x14ac:dyDescent="0.25">
      <c r="B22" s="5">
        <v>0.122763</v>
      </c>
      <c r="C22" s="8">
        <v>0.18637899999999999</v>
      </c>
    </row>
    <row r="23" spans="2:23" x14ac:dyDescent="0.25">
      <c r="B23" s="5">
        <v>0.14693999999999999</v>
      </c>
      <c r="C23" s="8">
        <v>0.232045</v>
      </c>
      <c r="E23" s="51" t="s">
        <v>12</v>
      </c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29"/>
      <c r="U23" s="29"/>
      <c r="V23" s="29"/>
      <c r="W23" s="30"/>
    </row>
    <row r="24" spans="2:23" x14ac:dyDescent="0.25">
      <c r="B24" s="5">
        <v>9.6410999999999997E-2</v>
      </c>
      <c r="C24" s="8">
        <v>0.157661</v>
      </c>
      <c r="E24" s="5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31"/>
      <c r="U24" s="31"/>
      <c r="V24" s="31"/>
      <c r="W24" s="32"/>
    </row>
    <row r="25" spans="2:23" x14ac:dyDescent="0.25">
      <c r="B25" s="5">
        <v>7.3451000000000002E-2</v>
      </c>
      <c r="C25" s="8">
        <v>0.110607</v>
      </c>
      <c r="E25" s="12"/>
      <c r="W25" s="13"/>
    </row>
    <row r="26" spans="2:23" x14ac:dyDescent="0.25">
      <c r="B26" s="5">
        <v>8.8217000000000004E-2</v>
      </c>
      <c r="C26" s="8">
        <v>0.14305899999999999</v>
      </c>
      <c r="E26" s="12"/>
      <c r="W26" s="13"/>
    </row>
    <row r="27" spans="2:23" x14ac:dyDescent="0.25">
      <c r="B27" s="5">
        <v>9.6273999999999998E-2</v>
      </c>
      <c r="C27" s="8">
        <v>0.18214</v>
      </c>
      <c r="E27" s="12"/>
      <c r="W27" s="13"/>
    </row>
    <row r="28" spans="2:23" x14ac:dyDescent="0.25">
      <c r="B28" s="5">
        <v>0.11600199999999999</v>
      </c>
      <c r="C28" s="8">
        <v>0.200187</v>
      </c>
      <c r="E28" s="12"/>
      <c r="W28" s="13"/>
    </row>
    <row r="29" spans="2:23" x14ac:dyDescent="0.25">
      <c r="B29" s="5">
        <v>0.120366</v>
      </c>
      <c r="C29" s="8">
        <v>0.21027399999999999</v>
      </c>
      <c r="E29" s="12"/>
      <c r="W29" s="13"/>
    </row>
    <row r="30" spans="2:23" x14ac:dyDescent="0.25">
      <c r="B30" s="5">
        <v>0.120364</v>
      </c>
      <c r="C30" s="8">
        <v>0.210285</v>
      </c>
      <c r="E30" s="12"/>
      <c r="W30" s="13"/>
    </row>
    <row r="31" spans="2:23" x14ac:dyDescent="0.25">
      <c r="B31" s="5">
        <v>0.11475</v>
      </c>
      <c r="C31" s="8">
        <v>0.208817</v>
      </c>
      <c r="E31" s="12"/>
      <c r="W31" s="13"/>
    </row>
    <row r="32" spans="2:23" x14ac:dyDescent="0.25">
      <c r="B32" s="5">
        <v>0.12035</v>
      </c>
      <c r="C32" s="8">
        <v>0.21030199999999999</v>
      </c>
      <c r="E32" s="12"/>
      <c r="W32" s="13"/>
    </row>
    <row r="33" spans="2:23" x14ac:dyDescent="0.25">
      <c r="B33" s="5">
        <v>0.120362</v>
      </c>
      <c r="C33" s="8">
        <v>0.210284</v>
      </c>
      <c r="E33" s="12"/>
      <c r="W33" s="13"/>
    </row>
    <row r="34" spans="2:23" x14ac:dyDescent="0.25">
      <c r="B34" s="5">
        <v>0.11600100000000001</v>
      </c>
      <c r="C34" s="8">
        <v>0.20019000000000001</v>
      </c>
      <c r="E34" s="12"/>
      <c r="W34" s="13"/>
    </row>
    <row r="35" spans="2:23" x14ac:dyDescent="0.25">
      <c r="B35" s="5">
        <v>0.124921</v>
      </c>
      <c r="C35" s="8">
        <v>0.218447</v>
      </c>
      <c r="E35" s="12"/>
      <c r="W35" s="13"/>
    </row>
    <row r="36" spans="2:23" x14ac:dyDescent="0.25">
      <c r="B36" s="5">
        <v>0.11736199999999999</v>
      </c>
      <c r="C36" s="8">
        <v>0.196911</v>
      </c>
      <c r="E36" s="12"/>
      <c r="W36" s="13"/>
    </row>
    <row r="37" spans="2:23" x14ac:dyDescent="0.25">
      <c r="B37" s="5">
        <v>9.7248000000000001E-2</v>
      </c>
      <c r="C37" s="8">
        <v>0.15923499999999999</v>
      </c>
      <c r="E37" s="12"/>
      <c r="W37" s="13"/>
    </row>
    <row r="38" spans="2:23" x14ac:dyDescent="0.25">
      <c r="B38" s="5">
        <v>0.120396</v>
      </c>
      <c r="C38" s="8">
        <v>0.21033299999999999</v>
      </c>
      <c r="E38" s="12"/>
      <c r="W38" s="13"/>
    </row>
    <row r="39" spans="2:23" x14ac:dyDescent="0.25">
      <c r="B39" s="5">
        <v>0.120363</v>
      </c>
      <c r="C39" s="8">
        <v>0.210283</v>
      </c>
      <c r="E39" s="12"/>
      <c r="W39" s="13"/>
    </row>
    <row r="40" spans="2:23" x14ac:dyDescent="0.25">
      <c r="B40" s="5">
        <v>0.11600199999999999</v>
      </c>
      <c r="C40" s="8">
        <v>0.20018900000000001</v>
      </c>
      <c r="E40" s="12"/>
      <c r="W40" s="13"/>
    </row>
    <row r="41" spans="2:23" x14ac:dyDescent="0.25">
      <c r="B41" s="5">
        <v>0.137768</v>
      </c>
      <c r="C41" s="8">
        <v>0.243921</v>
      </c>
      <c r="E41" s="12"/>
      <c r="W41" s="13"/>
    </row>
    <row r="42" spans="2:23" x14ac:dyDescent="0.25">
      <c r="B42" s="5">
        <v>8.8216000000000003E-2</v>
      </c>
      <c r="C42" s="8">
        <v>0.14305699999999999</v>
      </c>
      <c r="E42" s="12"/>
      <c r="W42" s="13"/>
    </row>
    <row r="43" spans="2:23" x14ac:dyDescent="0.25">
      <c r="B43" s="5">
        <v>0.13370499999999999</v>
      </c>
      <c r="C43" s="8">
        <v>0.24889600000000001</v>
      </c>
      <c r="E43" s="12"/>
      <c r="W43" s="13"/>
    </row>
    <row r="44" spans="2:23" x14ac:dyDescent="0.25">
      <c r="B44" s="5">
        <v>8.8217000000000004E-2</v>
      </c>
      <c r="C44" s="8">
        <v>0.14305799999999999</v>
      </c>
      <c r="E44" s="14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15"/>
    </row>
    <row r="45" spans="2:23" x14ac:dyDescent="0.25">
      <c r="B45" s="5">
        <v>8.8220000000000007E-2</v>
      </c>
      <c r="C45" s="8">
        <v>0.14305300000000001</v>
      </c>
    </row>
    <row r="46" spans="2:23" x14ac:dyDescent="0.25">
      <c r="B46" s="5">
        <v>9.7248000000000001E-2</v>
      </c>
      <c r="C46" s="8">
        <v>0.15923399999999999</v>
      </c>
    </row>
    <row r="47" spans="2:23" x14ac:dyDescent="0.25">
      <c r="B47" s="5">
        <v>0.10959099999999999</v>
      </c>
      <c r="C47" s="8">
        <v>0.18675</v>
      </c>
    </row>
    <row r="48" spans="2:23" x14ac:dyDescent="0.25">
      <c r="B48" s="5">
        <v>9.8684999999999995E-2</v>
      </c>
      <c r="C48" s="8">
        <v>0.16609399999999999</v>
      </c>
    </row>
    <row r="49" spans="2:3" x14ac:dyDescent="0.25">
      <c r="B49" s="5">
        <v>0.131684</v>
      </c>
      <c r="C49" s="8">
        <v>0.246036</v>
      </c>
    </row>
    <row r="50" spans="2:3" x14ac:dyDescent="0.25">
      <c r="B50" s="5">
        <v>0.120362</v>
      </c>
      <c r="C50" s="8">
        <v>0.210283</v>
      </c>
    </row>
    <row r="51" spans="2:3" x14ac:dyDescent="0.25">
      <c r="B51" s="5">
        <v>0.113313</v>
      </c>
      <c r="C51" s="8">
        <v>0.18784400000000001</v>
      </c>
    </row>
    <row r="52" spans="2:3" x14ac:dyDescent="0.25">
      <c r="B52" s="5">
        <v>8.8217000000000004E-2</v>
      </c>
      <c r="C52" s="8">
        <v>0.14305799999999999</v>
      </c>
    </row>
    <row r="53" spans="2:3" x14ac:dyDescent="0.25">
      <c r="B53" s="5">
        <v>0.120365</v>
      </c>
      <c r="C53" s="8">
        <v>0.210284</v>
      </c>
    </row>
    <row r="54" spans="2:3" x14ac:dyDescent="0.25">
      <c r="B54" s="5">
        <v>0.120495</v>
      </c>
      <c r="C54" s="8">
        <v>0.21032300000000001</v>
      </c>
    </row>
    <row r="55" spans="2:3" x14ac:dyDescent="0.25">
      <c r="B55" s="5">
        <v>0.10959000000000001</v>
      </c>
      <c r="C55" s="8">
        <v>0.18675</v>
      </c>
    </row>
    <row r="56" spans="2:3" x14ac:dyDescent="0.25">
      <c r="B56" s="5">
        <v>0.120394</v>
      </c>
      <c r="C56" s="8">
        <v>0.210318</v>
      </c>
    </row>
    <row r="57" spans="2:3" x14ac:dyDescent="0.25">
      <c r="B57" s="5">
        <v>9.9876999999999994E-2</v>
      </c>
      <c r="C57" s="8">
        <v>2.0400000000000001E-3</v>
      </c>
    </row>
    <row r="58" spans="2:3" x14ac:dyDescent="0.25">
      <c r="B58" s="5">
        <v>0.103614</v>
      </c>
      <c r="C58" s="8">
        <v>0.172877</v>
      </c>
    </row>
    <row r="59" spans="2:3" x14ac:dyDescent="0.25">
      <c r="B59" s="5">
        <v>9.7248000000000001E-2</v>
      </c>
      <c r="C59" s="8">
        <v>0.15923499999999999</v>
      </c>
    </row>
    <row r="60" spans="2:3" x14ac:dyDescent="0.25">
      <c r="B60" s="5">
        <v>9.7249000000000002E-2</v>
      </c>
      <c r="C60" s="8">
        <v>0.15923499999999999</v>
      </c>
    </row>
    <row r="61" spans="2:3" x14ac:dyDescent="0.25">
      <c r="B61" s="5">
        <v>8.8216000000000003E-2</v>
      </c>
      <c r="C61" s="8">
        <v>0.14306099999999999</v>
      </c>
    </row>
    <row r="62" spans="2:3" x14ac:dyDescent="0.25">
      <c r="B62" s="5">
        <v>0.10959000000000001</v>
      </c>
      <c r="C62" s="8">
        <v>0.186751</v>
      </c>
    </row>
    <row r="63" spans="2:3" x14ac:dyDescent="0.25">
      <c r="B63" s="5">
        <v>8.0884999999999999E-2</v>
      </c>
      <c r="C63" s="8">
        <v>0.111078</v>
      </c>
    </row>
    <row r="64" spans="2:3" x14ac:dyDescent="0.25">
      <c r="B64" s="5">
        <v>0.11600199999999999</v>
      </c>
      <c r="C64" s="8">
        <v>0.200188</v>
      </c>
    </row>
    <row r="65" spans="2:3" x14ac:dyDescent="0.25">
      <c r="B65" s="5">
        <v>0.115983</v>
      </c>
      <c r="C65" s="8">
        <v>0.20014999999999999</v>
      </c>
    </row>
    <row r="66" spans="2:3" x14ac:dyDescent="0.25">
      <c r="B66" s="5">
        <v>0.120363</v>
      </c>
      <c r="C66" s="8">
        <v>0.210283</v>
      </c>
    </row>
    <row r="67" spans="2:3" x14ac:dyDescent="0.25">
      <c r="B67" s="5">
        <v>0.114594</v>
      </c>
      <c r="C67" s="8">
        <v>0.19278500000000001</v>
      </c>
    </row>
    <row r="68" spans="2:3" x14ac:dyDescent="0.25">
      <c r="B68" s="5">
        <v>0.123128</v>
      </c>
      <c r="C68" s="8">
        <v>0.22217500000000001</v>
      </c>
    </row>
    <row r="69" spans="2:3" x14ac:dyDescent="0.25">
      <c r="B69" s="5">
        <v>0.11600199999999999</v>
      </c>
      <c r="C69" s="8">
        <v>0.200188</v>
      </c>
    </row>
    <row r="70" spans="2:3" x14ac:dyDescent="0.25">
      <c r="B70" s="5">
        <v>8.8208999999999996E-2</v>
      </c>
      <c r="C70" s="8">
        <v>0.14307800000000001</v>
      </c>
    </row>
    <row r="71" spans="2:3" x14ac:dyDescent="0.25">
      <c r="B71" s="5">
        <v>0.103614</v>
      </c>
      <c r="C71" s="8">
        <v>0.172877</v>
      </c>
    </row>
    <row r="72" spans="2:3" x14ac:dyDescent="0.25">
      <c r="B72" s="5">
        <v>0.12044100000000001</v>
      </c>
      <c r="C72" s="8">
        <v>0.210314</v>
      </c>
    </row>
    <row r="73" spans="2:3" x14ac:dyDescent="0.25">
      <c r="B73" s="5">
        <v>8.9643E-2</v>
      </c>
      <c r="C73" s="8">
        <v>0.145953</v>
      </c>
    </row>
    <row r="74" spans="2:3" x14ac:dyDescent="0.25">
      <c r="B74" s="5">
        <v>0.120355</v>
      </c>
      <c r="C74" s="8">
        <v>0.21029200000000001</v>
      </c>
    </row>
    <row r="75" spans="2:3" x14ac:dyDescent="0.25">
      <c r="B75" s="5">
        <v>0.115995</v>
      </c>
      <c r="C75" s="8">
        <v>0.200206</v>
      </c>
    </row>
    <row r="76" spans="2:3" x14ac:dyDescent="0.25">
      <c r="B76" s="5">
        <v>0.120255</v>
      </c>
      <c r="C76" s="8">
        <v>0.21018899999999999</v>
      </c>
    </row>
    <row r="77" spans="2:3" x14ac:dyDescent="0.25">
      <c r="B77" s="5">
        <v>0.12039999999999999</v>
      </c>
      <c r="C77" s="8">
        <v>0.210261</v>
      </c>
    </row>
    <row r="78" spans="2:3" x14ac:dyDescent="0.25">
      <c r="B78" s="5">
        <v>0.103989</v>
      </c>
      <c r="C78" s="8">
        <v>0.158776</v>
      </c>
    </row>
    <row r="79" spans="2:3" x14ac:dyDescent="0.25">
      <c r="B79" s="5">
        <v>0.116003</v>
      </c>
      <c r="C79" s="8">
        <v>0.200184</v>
      </c>
    </row>
    <row r="80" spans="2:3" x14ac:dyDescent="0.25">
      <c r="B80" s="5">
        <v>8.8217000000000004E-2</v>
      </c>
      <c r="C80" s="8">
        <v>0.14305799999999999</v>
      </c>
    </row>
    <row r="81" spans="2:3" x14ac:dyDescent="0.25">
      <c r="B81" s="5">
        <v>0.10959099999999999</v>
      </c>
      <c r="C81" s="8">
        <v>0.18675</v>
      </c>
    </row>
    <row r="82" spans="2:3" x14ac:dyDescent="0.25">
      <c r="B82" s="5">
        <v>0.11600199999999999</v>
      </c>
      <c r="C82" s="8">
        <v>0.200188</v>
      </c>
    </row>
    <row r="83" spans="2:3" x14ac:dyDescent="0.25">
      <c r="B83" s="5">
        <v>0.120402</v>
      </c>
      <c r="C83" s="8">
        <v>0.210396</v>
      </c>
    </row>
    <row r="84" spans="2:3" x14ac:dyDescent="0.25">
      <c r="B84" s="5">
        <v>0.120363</v>
      </c>
      <c r="C84" s="8">
        <v>0.210283</v>
      </c>
    </row>
    <row r="85" spans="2:3" x14ac:dyDescent="0.25">
      <c r="B85" s="5">
        <v>0.120491</v>
      </c>
      <c r="C85" s="8">
        <v>0.210421</v>
      </c>
    </row>
    <row r="86" spans="2:3" x14ac:dyDescent="0.25">
      <c r="B86" s="5">
        <v>0.11600199999999999</v>
      </c>
      <c r="C86" s="8">
        <v>0.200188</v>
      </c>
    </row>
    <row r="87" spans="2:3" x14ac:dyDescent="0.25">
      <c r="B87" s="5">
        <v>0.13963300000000001</v>
      </c>
      <c r="C87" s="8">
        <v>0.22641900000000001</v>
      </c>
    </row>
    <row r="88" spans="2:3" x14ac:dyDescent="0.25">
      <c r="B88" s="5">
        <v>9.2093999999999995E-2</v>
      </c>
      <c r="C88" s="8">
        <v>0.14666499999999999</v>
      </c>
    </row>
    <row r="89" spans="2:3" x14ac:dyDescent="0.25">
      <c r="B89" s="5">
        <v>0.10959000000000001</v>
      </c>
      <c r="C89" s="8">
        <v>0.186751</v>
      </c>
    </row>
    <row r="90" spans="2:3" x14ac:dyDescent="0.25">
      <c r="B90" s="5">
        <v>0.12826000000000001</v>
      </c>
      <c r="C90" s="8">
        <v>0.238066</v>
      </c>
    </row>
    <row r="91" spans="2:3" x14ac:dyDescent="0.25">
      <c r="B91" s="5">
        <v>0.111163</v>
      </c>
      <c r="C91" s="8">
        <v>0.187083</v>
      </c>
    </row>
    <row r="92" spans="2:3" x14ac:dyDescent="0.25">
      <c r="B92" s="5">
        <v>7.5447E-2</v>
      </c>
      <c r="C92" s="8">
        <v>0.119795</v>
      </c>
    </row>
    <row r="93" spans="2:3" x14ac:dyDescent="0.25">
      <c r="B93" s="5">
        <v>0.133711</v>
      </c>
      <c r="C93" s="8">
        <v>0.24890699999999999</v>
      </c>
    </row>
    <row r="94" spans="2:3" x14ac:dyDescent="0.25">
      <c r="B94" s="5">
        <v>0.12049</v>
      </c>
      <c r="C94" s="8">
        <v>0.210315</v>
      </c>
    </row>
    <row r="95" spans="2:3" x14ac:dyDescent="0.25">
      <c r="B95" s="5">
        <v>0.120495</v>
      </c>
      <c r="C95" s="8">
        <v>0.21030799999999999</v>
      </c>
    </row>
    <row r="96" spans="2:3" x14ac:dyDescent="0.25">
      <c r="B96" s="5">
        <v>0.109596</v>
      </c>
      <c r="C96" s="8">
        <v>0.18671199999999999</v>
      </c>
    </row>
    <row r="97" spans="2:3" x14ac:dyDescent="0.25">
      <c r="B97" s="5">
        <v>0.10960300000000001</v>
      </c>
      <c r="C97" s="8">
        <v>0.18670500000000001</v>
      </c>
    </row>
    <row r="98" spans="2:3" x14ac:dyDescent="0.25">
      <c r="B98" s="5">
        <v>0.11600100000000001</v>
      </c>
      <c r="C98" s="8">
        <v>0.20018900000000001</v>
      </c>
    </row>
    <row r="99" spans="2:3" x14ac:dyDescent="0.25">
      <c r="B99" s="5">
        <v>0.115684</v>
      </c>
      <c r="C99" s="8">
        <v>0.19303200000000001</v>
      </c>
    </row>
    <row r="100" spans="2:3" x14ac:dyDescent="0.25">
      <c r="B100" s="5">
        <v>0.103613</v>
      </c>
      <c r="C100" s="8">
        <v>0.172877</v>
      </c>
    </row>
    <row r="101" spans="2:3" x14ac:dyDescent="0.25">
      <c r="B101" s="5">
        <v>0.129464</v>
      </c>
      <c r="C101" s="8">
        <v>0.242255</v>
      </c>
    </row>
    <row r="102" spans="2:3" x14ac:dyDescent="0.25">
      <c r="B102" s="5">
        <v>0.10959000000000001</v>
      </c>
      <c r="C102" s="8">
        <v>0.186746</v>
      </c>
    </row>
    <row r="103" spans="2:3" x14ac:dyDescent="0.25">
      <c r="B103" s="5">
        <v>8.8218000000000005E-2</v>
      </c>
      <c r="C103" s="8">
        <v>0.14305599999999999</v>
      </c>
    </row>
    <row r="104" spans="2:3" x14ac:dyDescent="0.25">
      <c r="B104" s="2">
        <v>0.16056500000000001</v>
      </c>
      <c r="C104" s="6">
        <v>0.22331300000000001</v>
      </c>
    </row>
    <row r="105" spans="2:3" x14ac:dyDescent="0.25">
      <c r="B105" s="2">
        <v>0.11600100000000001</v>
      </c>
      <c r="C105" s="6">
        <v>0.20019600000000001</v>
      </c>
    </row>
    <row r="106" spans="2:3" x14ac:dyDescent="0.25">
      <c r="B106" s="2">
        <v>9.9003999999999995E-2</v>
      </c>
      <c r="C106" s="6">
        <v>0.16717799999999999</v>
      </c>
    </row>
    <row r="107" spans="2:3" x14ac:dyDescent="0.25">
      <c r="B107" s="2">
        <v>7.5448000000000001E-2</v>
      </c>
      <c r="C107" s="6">
        <v>0.119795</v>
      </c>
    </row>
    <row r="108" spans="2:3" x14ac:dyDescent="0.25">
      <c r="B108" s="2">
        <v>1.859E-3</v>
      </c>
      <c r="C108" s="6">
        <v>4.7050000000000002E-2</v>
      </c>
    </row>
    <row r="109" spans="2:3" x14ac:dyDescent="0.25">
      <c r="B109" s="2">
        <v>0.13370199999999999</v>
      </c>
      <c r="C109" s="6">
        <v>0.24887899999999999</v>
      </c>
    </row>
    <row r="110" spans="2:3" x14ac:dyDescent="0.25">
      <c r="B110" s="2">
        <v>0.133663</v>
      </c>
      <c r="C110" s="6">
        <v>0.243253</v>
      </c>
    </row>
    <row r="111" spans="2:3" x14ac:dyDescent="0.25">
      <c r="B111" s="2">
        <v>0.13370000000000001</v>
      </c>
      <c r="C111" s="6">
        <v>0.248915</v>
      </c>
    </row>
    <row r="112" spans="2:3" x14ac:dyDescent="0.25">
      <c r="B112" s="2">
        <v>0.13972599999999999</v>
      </c>
      <c r="C112" s="6">
        <v>0.226577</v>
      </c>
    </row>
    <row r="113" spans="2:3" x14ac:dyDescent="0.25">
      <c r="B113" s="2">
        <v>0.109612</v>
      </c>
      <c r="C113" s="6">
        <v>0.186972</v>
      </c>
    </row>
    <row r="114" spans="2:3" x14ac:dyDescent="0.25">
      <c r="B114" s="2">
        <v>0.109588</v>
      </c>
      <c r="C114" s="6">
        <v>0.18676000000000001</v>
      </c>
    </row>
    <row r="115" spans="2:3" x14ac:dyDescent="0.25">
      <c r="B115" s="2">
        <v>7.5449000000000002E-2</v>
      </c>
      <c r="C115" s="6">
        <v>0.119796</v>
      </c>
    </row>
    <row r="116" spans="2:3" x14ac:dyDescent="0.25">
      <c r="B116" s="2">
        <v>8.8217000000000004E-2</v>
      </c>
      <c r="C116" s="6">
        <v>0.14305499999999999</v>
      </c>
    </row>
    <row r="117" spans="2:3" x14ac:dyDescent="0.25">
      <c r="B117" s="2">
        <v>9.7248000000000001E-2</v>
      </c>
      <c r="C117" s="6">
        <v>0.15923599999999999</v>
      </c>
    </row>
    <row r="118" spans="2:3" x14ac:dyDescent="0.25">
      <c r="B118" s="2">
        <v>0.10959000000000001</v>
      </c>
      <c r="C118" s="6">
        <v>0.186751</v>
      </c>
    </row>
    <row r="119" spans="2:3" x14ac:dyDescent="0.25">
      <c r="B119" s="2">
        <v>9.7251000000000004E-2</v>
      </c>
      <c r="C119" s="6">
        <v>0.15921199999999999</v>
      </c>
    </row>
    <row r="120" spans="2:3" x14ac:dyDescent="0.25">
      <c r="B120" s="2">
        <v>0.11054899999999999</v>
      </c>
      <c r="C120" s="6">
        <v>0.17874599999999999</v>
      </c>
    </row>
    <row r="121" spans="2:3" x14ac:dyDescent="0.25">
      <c r="B121" s="2">
        <v>0.120255</v>
      </c>
      <c r="C121" s="6">
        <v>0.21018800000000001</v>
      </c>
    </row>
    <row r="122" spans="2:3" x14ac:dyDescent="0.25">
      <c r="B122" s="2">
        <v>0.13370399999999999</v>
      </c>
      <c r="C122" s="6">
        <v>0.24890599999999999</v>
      </c>
    </row>
  </sheetData>
  <mergeCells count="12">
    <mergeCell ref="P13:S13"/>
    <mergeCell ref="P14:S14"/>
    <mergeCell ref="B4:C4"/>
    <mergeCell ref="E4:H4"/>
    <mergeCell ref="J4:S4"/>
    <mergeCell ref="E23:S24"/>
    <mergeCell ref="J12:N12"/>
    <mergeCell ref="J11:N11"/>
    <mergeCell ref="J13:N13"/>
    <mergeCell ref="J14:N14"/>
    <mergeCell ref="P11:S11"/>
    <mergeCell ref="P12:S12"/>
  </mergeCells>
  <pageMargins left="0.7" right="0.7" top="0.75" bottom="0.75" header="0.3" footer="0.3"/>
  <pageSetup orientation="portrait" r:id="rId1"/>
  <headerFooter>
    <oddFooter>&amp;L_x000D_&amp;1#&amp;"Calibri"&amp;10&amp;K000000 Fidelity Internal Information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0641-1D0C-4704-A803-56F8131F124E}">
  <dimension ref="B1:Z421"/>
  <sheetViews>
    <sheetView showGridLines="0" showRowColHeaders="0" workbookViewId="0">
      <selection activeCell="M1" sqref="M1"/>
    </sheetView>
  </sheetViews>
  <sheetFormatPr defaultColWidth="9.140625" defaultRowHeight="15" x14ac:dyDescent="0.25"/>
  <cols>
    <col min="1" max="1" width="1.7109375" style="1" customWidth="1"/>
    <col min="2" max="2" width="9.140625" style="2"/>
    <col min="3" max="3" width="9.140625" style="6"/>
    <col min="4" max="4" width="1.7109375" style="1" customWidth="1"/>
    <col min="5" max="7" width="8.7109375" style="1" customWidth="1"/>
    <col min="8" max="8" width="1.7109375" style="1" customWidth="1"/>
    <col min="9" max="9" width="14.28515625" style="1" bestFit="1" customWidth="1"/>
    <col min="10" max="10" width="4.85546875" style="1" hidden="1" customWidth="1"/>
    <col min="11" max="15" width="8.7109375" style="1" customWidth="1"/>
    <col min="16" max="16" width="8.7109375" style="1" hidden="1" customWidth="1"/>
    <col min="17" max="17" width="8.7109375" style="1" customWidth="1"/>
    <col min="18" max="18" width="14.7109375" style="1" customWidth="1"/>
    <col min="19" max="19" width="14.7109375" style="1" hidden="1" customWidth="1"/>
    <col min="20" max="24" width="8.7109375" style="1" customWidth="1"/>
    <col min="25" max="25" width="8.7109375" style="1" hidden="1" customWidth="1"/>
    <col min="26" max="26" width="8.7109375" style="1" customWidth="1"/>
    <col min="27" max="27" width="1.7109375" style="1" customWidth="1"/>
    <col min="28" max="29" width="9.140625" style="1"/>
    <col min="30" max="30" width="10.7109375" style="1" bestFit="1" customWidth="1"/>
    <col min="31" max="16384" width="9.140625" style="1"/>
  </cols>
  <sheetData>
    <row r="1" spans="2:21" ht="12" customHeight="1" x14ac:dyDescent="0.25"/>
    <row r="2" spans="2:21" ht="26.25" x14ac:dyDescent="0.4">
      <c r="B2" s="3" t="s">
        <v>46</v>
      </c>
    </row>
    <row r="3" spans="2:21" ht="12" customHeight="1" x14ac:dyDescent="0.25"/>
    <row r="4" spans="2:21" x14ac:dyDescent="0.25">
      <c r="B4" s="57" t="s">
        <v>2</v>
      </c>
      <c r="C4" s="57"/>
      <c r="E4" s="58" t="s">
        <v>60</v>
      </c>
      <c r="F4" s="58"/>
      <c r="G4" s="58"/>
      <c r="I4" s="58" t="s">
        <v>18</v>
      </c>
      <c r="J4" s="58"/>
      <c r="K4" s="58"/>
      <c r="L4" s="58"/>
      <c r="M4" s="58"/>
      <c r="N4" s="58"/>
      <c r="O4" s="58"/>
      <c r="P4" s="58"/>
      <c r="Q4" s="58"/>
    </row>
    <row r="5" spans="2:21" x14ac:dyDescent="0.25">
      <c r="B5" s="4" t="s">
        <v>0</v>
      </c>
      <c r="C5" s="7" t="s">
        <v>1</v>
      </c>
      <c r="E5" s="18" t="s">
        <v>0</v>
      </c>
      <c r="F5" s="18" t="s">
        <v>61</v>
      </c>
      <c r="G5" s="18" t="s">
        <v>62</v>
      </c>
      <c r="I5" s="18" t="s">
        <v>17</v>
      </c>
      <c r="J5" s="18" t="s">
        <v>21</v>
      </c>
      <c r="K5" s="18" t="s">
        <v>7</v>
      </c>
      <c r="L5" s="18" t="s">
        <v>8</v>
      </c>
      <c r="M5" s="18" t="s">
        <v>9</v>
      </c>
      <c r="N5" s="18" t="s">
        <v>10</v>
      </c>
      <c r="O5" s="18" t="s">
        <v>11</v>
      </c>
      <c r="P5" s="18" t="s">
        <v>22</v>
      </c>
      <c r="Q5" s="18" t="s">
        <v>13</v>
      </c>
    </row>
    <row r="6" spans="2:21" x14ac:dyDescent="0.25">
      <c r="B6" s="5">
        <v>52.790999999999997</v>
      </c>
      <c r="C6" s="8">
        <v>0.67689999999999995</v>
      </c>
      <c r="E6" s="10">
        <v>25</v>
      </c>
      <c r="F6" s="10">
        <v>0.8</v>
      </c>
      <c r="G6" s="10">
        <v>0.95</v>
      </c>
      <c r="I6" s="10" t="s">
        <v>16</v>
      </c>
      <c r="J6" s="10">
        <v>0</v>
      </c>
      <c r="K6" s="16">
        <v>0.13942307692307693</v>
      </c>
      <c r="L6" s="16">
        <v>0.35576923076923078</v>
      </c>
      <c r="M6" s="16">
        <v>0.28846153846153844</v>
      </c>
      <c r="N6" s="16">
        <v>0.14423076923076922</v>
      </c>
      <c r="O6" s="16">
        <v>7.2115384615384609E-2</v>
      </c>
      <c r="P6" s="16">
        <v>0</v>
      </c>
      <c r="Q6" s="16">
        <v>1</v>
      </c>
      <c r="U6" s="34"/>
    </row>
    <row r="7" spans="2:21" x14ac:dyDescent="0.25">
      <c r="B7" s="5">
        <v>54.984999999999999</v>
      </c>
      <c r="C7" s="8">
        <v>0.67689999999999995</v>
      </c>
      <c r="E7" s="10">
        <v>26</v>
      </c>
      <c r="F7" s="10">
        <v>0.8</v>
      </c>
      <c r="G7" s="10">
        <v>0.95</v>
      </c>
      <c r="I7" s="10" t="s">
        <v>63</v>
      </c>
      <c r="J7" s="10">
        <v>65535</v>
      </c>
      <c r="K7" s="16">
        <v>0.81034482758620685</v>
      </c>
      <c r="L7" s="16">
        <v>0.85135135135135132</v>
      </c>
      <c r="M7" s="16">
        <v>0.81666666666666665</v>
      </c>
      <c r="N7" s="16">
        <v>0.7</v>
      </c>
      <c r="O7" s="16">
        <v>0.56666666666666665</v>
      </c>
      <c r="P7" s="16">
        <v>65535</v>
      </c>
      <c r="Q7" s="16">
        <v>0.79326923076923073</v>
      </c>
      <c r="U7" s="34"/>
    </row>
    <row r="8" spans="2:21" x14ac:dyDescent="0.25">
      <c r="B8" s="5">
        <v>38.097000000000001</v>
      </c>
      <c r="C8" s="8">
        <v>0.90080000000000005</v>
      </c>
      <c r="E8" s="10">
        <v>27</v>
      </c>
      <c r="F8" s="10">
        <v>0.8</v>
      </c>
      <c r="G8" s="10">
        <v>0.95</v>
      </c>
      <c r="I8" s="10" t="s">
        <v>64</v>
      </c>
      <c r="J8" s="10">
        <v>65535</v>
      </c>
      <c r="K8" s="16">
        <v>1.7241379310344827E-2</v>
      </c>
      <c r="L8" s="16">
        <v>1.3513513513513514E-2</v>
      </c>
      <c r="M8" s="16">
        <v>8.3333333333333332E-3</v>
      </c>
      <c r="N8" s="16">
        <v>1.6666666666666666E-2</v>
      </c>
      <c r="O8" s="16">
        <v>3.3333333333333333E-2</v>
      </c>
      <c r="P8" s="16">
        <v>65535</v>
      </c>
      <c r="Q8" s="16">
        <v>1.4423076923076924E-2</v>
      </c>
    </row>
    <row r="9" spans="2:21" x14ac:dyDescent="0.25">
      <c r="B9" s="5">
        <v>44.192</v>
      </c>
      <c r="C9" s="8">
        <v>0.82620000000000005</v>
      </c>
      <c r="E9" s="10">
        <v>28</v>
      </c>
      <c r="F9" s="10">
        <v>0.8</v>
      </c>
      <c r="G9" s="10">
        <v>0.95</v>
      </c>
      <c r="I9" s="10" t="s">
        <v>65</v>
      </c>
      <c r="J9" s="10">
        <v>65535</v>
      </c>
      <c r="K9" s="16">
        <v>0.15517241379310345</v>
      </c>
      <c r="L9" s="16">
        <v>7.4324324324324328E-2</v>
      </c>
      <c r="M9" s="16">
        <v>0.05</v>
      </c>
      <c r="N9" s="16">
        <v>8.3333333333333329E-2</v>
      </c>
      <c r="O9" s="16">
        <v>0.1</v>
      </c>
      <c r="P9" s="16">
        <v>65535</v>
      </c>
      <c r="Q9" s="16">
        <v>8.1730769230769232E-2</v>
      </c>
    </row>
    <row r="10" spans="2:21" x14ac:dyDescent="0.25">
      <c r="B10" s="5">
        <v>61.741999999999997</v>
      </c>
      <c r="C10" s="8">
        <v>0.79379999999999995</v>
      </c>
      <c r="E10" s="10">
        <v>29</v>
      </c>
      <c r="F10" s="10">
        <v>0.8</v>
      </c>
      <c r="G10" s="10">
        <v>0.95</v>
      </c>
    </row>
    <row r="11" spans="2:21" x14ac:dyDescent="0.25">
      <c r="B11" s="5">
        <v>65.049000000000007</v>
      </c>
      <c r="C11" s="8">
        <v>0.501</v>
      </c>
      <c r="E11" s="10">
        <v>30</v>
      </c>
      <c r="F11" s="10">
        <v>0.8</v>
      </c>
      <c r="G11" s="10">
        <v>0.95</v>
      </c>
    </row>
    <row r="12" spans="2:21" x14ac:dyDescent="0.25">
      <c r="B12" s="5">
        <v>42.869</v>
      </c>
      <c r="C12" s="8">
        <v>0.82620000000000005</v>
      </c>
      <c r="E12" s="10">
        <v>31</v>
      </c>
      <c r="F12" s="10">
        <v>0.8</v>
      </c>
      <c r="G12" s="10">
        <v>0.95</v>
      </c>
    </row>
    <row r="13" spans="2:21" x14ac:dyDescent="0.25">
      <c r="B13" s="5">
        <v>58.335999999999999</v>
      </c>
      <c r="C13" s="8">
        <v>0.60129999999999995</v>
      </c>
      <c r="E13" s="10">
        <v>32</v>
      </c>
      <c r="F13" s="10">
        <v>0.8</v>
      </c>
      <c r="G13" s="10">
        <v>0.95</v>
      </c>
    </row>
    <row r="14" spans="2:21" x14ac:dyDescent="0.25">
      <c r="B14" s="5">
        <v>39.521000000000001</v>
      </c>
      <c r="C14" s="8">
        <v>0.90080000000000005</v>
      </c>
      <c r="E14" s="10">
        <v>33</v>
      </c>
      <c r="F14" s="10">
        <v>0.8</v>
      </c>
      <c r="G14" s="10">
        <v>0.95</v>
      </c>
    </row>
    <row r="15" spans="2:21" x14ac:dyDescent="0.25">
      <c r="B15" s="5">
        <v>30.456</v>
      </c>
      <c r="C15" s="8">
        <v>0.90090000000000003</v>
      </c>
      <c r="E15" s="10">
        <v>34</v>
      </c>
      <c r="F15" s="10">
        <v>0.8</v>
      </c>
      <c r="G15" s="10">
        <v>0.95</v>
      </c>
    </row>
    <row r="16" spans="2:21" x14ac:dyDescent="0.25">
      <c r="B16" s="5">
        <v>39.017000000000003</v>
      </c>
      <c r="C16" s="8">
        <v>0.90080000000000005</v>
      </c>
      <c r="E16" s="10">
        <v>35</v>
      </c>
      <c r="F16" s="10">
        <v>0.8</v>
      </c>
      <c r="G16" s="10">
        <v>0.95</v>
      </c>
    </row>
    <row r="17" spans="2:26" x14ac:dyDescent="0.25">
      <c r="B17" s="5">
        <v>59.981000000000002</v>
      </c>
      <c r="C17" s="8">
        <v>0.60129999999999995</v>
      </c>
      <c r="E17" s="10">
        <v>36</v>
      </c>
      <c r="F17" s="10">
        <v>0.8</v>
      </c>
      <c r="G17" s="10">
        <v>0.95</v>
      </c>
    </row>
    <row r="18" spans="2:26" x14ac:dyDescent="0.25">
      <c r="B18" s="5">
        <v>50.942999999999998</v>
      </c>
      <c r="C18" s="8">
        <v>0.75160000000000005</v>
      </c>
      <c r="E18" s="10">
        <v>37</v>
      </c>
      <c r="F18" s="10">
        <v>0.8</v>
      </c>
      <c r="G18" s="10">
        <v>0.95</v>
      </c>
    </row>
    <row r="19" spans="2:26" x14ac:dyDescent="0.25">
      <c r="B19" s="5">
        <v>33.957000000000001</v>
      </c>
      <c r="C19" s="8">
        <v>0.90100000000000002</v>
      </c>
      <c r="E19" s="10">
        <v>38</v>
      </c>
      <c r="F19" s="10">
        <v>0.8</v>
      </c>
      <c r="G19" s="10">
        <v>0.95</v>
      </c>
    </row>
    <row r="20" spans="2:26" x14ac:dyDescent="0.25">
      <c r="B20" s="5">
        <v>37.703000000000003</v>
      </c>
      <c r="C20" s="8">
        <v>0.90100000000000002</v>
      </c>
      <c r="E20" s="10">
        <v>39</v>
      </c>
      <c r="F20" s="10">
        <v>0.8</v>
      </c>
      <c r="G20" s="10">
        <v>0.95</v>
      </c>
    </row>
    <row r="21" spans="2:26" x14ac:dyDescent="0.25">
      <c r="B21" s="5">
        <v>35.343000000000004</v>
      </c>
      <c r="C21" s="8">
        <v>0.90100000000000002</v>
      </c>
      <c r="E21" s="10">
        <v>40</v>
      </c>
      <c r="F21" s="10">
        <v>0.8</v>
      </c>
      <c r="G21" s="10">
        <v>0.95</v>
      </c>
    </row>
    <row r="22" spans="2:26" x14ac:dyDescent="0.25">
      <c r="B22" s="5">
        <v>44.155999999999999</v>
      </c>
      <c r="C22" s="8">
        <v>0.82620000000000005</v>
      </c>
      <c r="E22" s="10">
        <v>41</v>
      </c>
      <c r="F22" s="10">
        <v>0.8</v>
      </c>
      <c r="G22" s="10">
        <v>0.95</v>
      </c>
    </row>
    <row r="23" spans="2:26" x14ac:dyDescent="0.25">
      <c r="B23" s="5">
        <v>41.142000000000003</v>
      </c>
      <c r="C23" s="8">
        <v>0.90080000000000005</v>
      </c>
      <c r="E23" s="10">
        <v>42</v>
      </c>
      <c r="F23" s="10">
        <v>0.8</v>
      </c>
      <c r="G23" s="10">
        <v>0.95</v>
      </c>
      <c r="I23" s="51" t="s">
        <v>12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/>
    </row>
    <row r="24" spans="2:26" x14ac:dyDescent="0.25">
      <c r="B24" s="5">
        <v>55.59</v>
      </c>
      <c r="C24" s="8">
        <v>0.67689999999999995</v>
      </c>
      <c r="E24" s="10">
        <v>43</v>
      </c>
      <c r="F24" s="10">
        <v>0.8</v>
      </c>
      <c r="G24" s="10">
        <v>0.95</v>
      </c>
      <c r="I24" s="54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6"/>
    </row>
    <row r="25" spans="2:26" x14ac:dyDescent="0.25">
      <c r="B25" s="5">
        <v>60.575000000000003</v>
      </c>
      <c r="C25" s="8">
        <v>0.60129999999999995</v>
      </c>
      <c r="E25" s="10">
        <v>44</v>
      </c>
      <c r="F25" s="10">
        <v>0.8</v>
      </c>
      <c r="G25" s="10">
        <v>0.95</v>
      </c>
      <c r="I25" s="12"/>
      <c r="Z25" s="13"/>
    </row>
    <row r="26" spans="2:26" x14ac:dyDescent="0.25">
      <c r="B26" s="5">
        <v>68.287999999999997</v>
      </c>
      <c r="C26" s="8">
        <v>1</v>
      </c>
      <c r="E26" s="10">
        <v>45</v>
      </c>
      <c r="F26" s="10">
        <v>0.8</v>
      </c>
      <c r="G26" s="10">
        <v>0.95</v>
      </c>
      <c r="I26" s="12"/>
      <c r="Z26" s="13"/>
    </row>
    <row r="27" spans="2:26" x14ac:dyDescent="0.25">
      <c r="B27" s="5">
        <v>43.985999999999997</v>
      </c>
      <c r="C27" s="8">
        <v>0.82620000000000005</v>
      </c>
      <c r="E27" s="10">
        <v>46</v>
      </c>
      <c r="F27" s="10">
        <v>0.8</v>
      </c>
      <c r="G27" s="10">
        <v>0.95</v>
      </c>
      <c r="I27" s="12"/>
      <c r="Z27" s="13"/>
    </row>
    <row r="28" spans="2:26" x14ac:dyDescent="0.25">
      <c r="B28" s="5">
        <v>52.444000000000003</v>
      </c>
      <c r="C28" s="8">
        <v>0.75160000000000005</v>
      </c>
      <c r="E28" s="10">
        <v>47</v>
      </c>
      <c r="F28" s="10">
        <v>0.78859999999999997</v>
      </c>
      <c r="G28" s="10">
        <v>0.95</v>
      </c>
      <c r="I28" s="12"/>
      <c r="Z28" s="13"/>
    </row>
    <row r="29" spans="2:26" x14ac:dyDescent="0.25">
      <c r="B29" s="5">
        <v>48.463000000000001</v>
      </c>
      <c r="C29" s="8">
        <v>1</v>
      </c>
      <c r="E29" s="10">
        <v>48</v>
      </c>
      <c r="F29" s="10">
        <v>0.76859999999999995</v>
      </c>
      <c r="G29" s="10">
        <v>0.95</v>
      </c>
      <c r="I29" s="12"/>
      <c r="Z29" s="13"/>
    </row>
    <row r="30" spans="2:26" x14ac:dyDescent="0.25">
      <c r="B30" s="5">
        <v>31.241</v>
      </c>
      <c r="C30" s="8">
        <v>0.90090000000000003</v>
      </c>
      <c r="E30" s="10">
        <v>49</v>
      </c>
      <c r="F30" s="10">
        <v>0.74690000000000001</v>
      </c>
      <c r="G30" s="10">
        <v>0.94689999999999996</v>
      </c>
      <c r="I30" s="12"/>
      <c r="Z30" s="13"/>
    </row>
    <row r="31" spans="2:26" x14ac:dyDescent="0.25">
      <c r="B31" s="5">
        <v>49.484000000000002</v>
      </c>
      <c r="C31" s="8">
        <v>0.77129999999999999</v>
      </c>
      <c r="E31" s="10">
        <v>50</v>
      </c>
      <c r="F31" s="10">
        <v>0.72519999999999996</v>
      </c>
      <c r="G31" s="10">
        <v>0.92520000000000002</v>
      </c>
      <c r="I31" s="12"/>
      <c r="Z31" s="13"/>
    </row>
    <row r="32" spans="2:26" x14ac:dyDescent="0.25">
      <c r="B32" s="5">
        <v>53.249000000000002</v>
      </c>
      <c r="C32" s="8">
        <v>0.67689999999999995</v>
      </c>
      <c r="E32" s="10">
        <v>51</v>
      </c>
      <c r="F32" s="10">
        <v>0.7036</v>
      </c>
      <c r="G32" s="10">
        <v>0.90359999999999996</v>
      </c>
      <c r="I32" s="12"/>
      <c r="Z32" s="13"/>
    </row>
    <row r="33" spans="2:26" x14ac:dyDescent="0.25">
      <c r="B33" s="5">
        <v>53.725000000000001</v>
      </c>
      <c r="C33" s="8">
        <v>0.67689999999999995</v>
      </c>
      <c r="E33" s="10">
        <v>52</v>
      </c>
      <c r="F33" s="10">
        <v>0.67600000000000005</v>
      </c>
      <c r="G33" s="10">
        <v>0.876</v>
      </c>
      <c r="I33" s="12"/>
      <c r="Z33" s="13"/>
    </row>
    <row r="34" spans="2:26" x14ac:dyDescent="0.25">
      <c r="B34" s="5">
        <v>45.435000000000002</v>
      </c>
      <c r="C34" s="8">
        <v>0.82620000000000005</v>
      </c>
      <c r="E34" s="10">
        <v>53</v>
      </c>
      <c r="F34" s="10">
        <v>0.6462</v>
      </c>
      <c r="G34" s="10">
        <v>0.84619999999999995</v>
      </c>
      <c r="I34" s="12"/>
      <c r="Z34" s="13"/>
    </row>
    <row r="35" spans="2:26" x14ac:dyDescent="0.25">
      <c r="B35" s="5">
        <v>63.113</v>
      </c>
      <c r="C35" s="8">
        <v>0.501</v>
      </c>
      <c r="E35" s="10">
        <v>54</v>
      </c>
      <c r="F35" s="10">
        <v>0.61670000000000003</v>
      </c>
      <c r="G35" s="10">
        <v>0.81669999999999998</v>
      </c>
      <c r="I35" s="12"/>
      <c r="Z35" s="13"/>
    </row>
    <row r="36" spans="2:26" x14ac:dyDescent="0.25">
      <c r="B36" s="5">
        <v>30.486000000000001</v>
      </c>
      <c r="C36" s="8">
        <v>0.90080000000000005</v>
      </c>
      <c r="E36" s="10">
        <v>55</v>
      </c>
      <c r="F36" s="10">
        <v>0.58760000000000001</v>
      </c>
      <c r="G36" s="10">
        <v>0.78759999999999997</v>
      </c>
      <c r="I36" s="12"/>
      <c r="Z36" s="13"/>
    </row>
    <row r="37" spans="2:26" x14ac:dyDescent="0.25">
      <c r="B37" s="5">
        <v>58.296999999999997</v>
      </c>
      <c r="C37" s="8">
        <v>0.84279999999999999</v>
      </c>
      <c r="E37" s="10">
        <v>56</v>
      </c>
      <c r="F37" s="10">
        <v>0.55840000000000001</v>
      </c>
      <c r="G37" s="10">
        <v>0.75839999999999996</v>
      </c>
      <c r="I37" s="12"/>
      <c r="Z37" s="13"/>
    </row>
    <row r="38" spans="2:26" x14ac:dyDescent="0.25">
      <c r="B38" s="5">
        <v>46.24</v>
      </c>
      <c r="C38" s="8">
        <v>0.82630000000000003</v>
      </c>
      <c r="E38" s="10">
        <v>57</v>
      </c>
      <c r="F38" s="10">
        <v>0.5423</v>
      </c>
      <c r="G38" s="10">
        <v>0.74229999999999996</v>
      </c>
      <c r="I38" s="12"/>
      <c r="Z38" s="13"/>
    </row>
    <row r="39" spans="2:26" x14ac:dyDescent="0.25">
      <c r="B39" s="5">
        <v>35.526000000000003</v>
      </c>
      <c r="C39" s="8">
        <v>0.90100000000000002</v>
      </c>
      <c r="E39" s="10">
        <v>58</v>
      </c>
      <c r="F39" s="10">
        <v>0.53059999999999996</v>
      </c>
      <c r="G39" s="10">
        <v>0.73060000000000003</v>
      </c>
      <c r="I39" s="12"/>
      <c r="Z39" s="13"/>
    </row>
    <row r="40" spans="2:26" x14ac:dyDescent="0.25">
      <c r="B40" s="5">
        <v>34.133000000000003</v>
      </c>
      <c r="C40" s="8">
        <v>1</v>
      </c>
      <c r="E40" s="10">
        <v>59</v>
      </c>
      <c r="F40" s="10">
        <v>0.51890000000000003</v>
      </c>
      <c r="G40" s="10">
        <v>0.71889999999999998</v>
      </c>
      <c r="I40" s="12"/>
      <c r="Z40" s="13"/>
    </row>
    <row r="41" spans="2:26" x14ac:dyDescent="0.25">
      <c r="B41" s="5">
        <v>33.536000000000001</v>
      </c>
      <c r="C41" s="8">
        <v>0.90100000000000002</v>
      </c>
      <c r="E41" s="10">
        <v>60</v>
      </c>
      <c r="F41" s="10">
        <v>0.50729999999999997</v>
      </c>
      <c r="G41" s="10">
        <v>0.70730000000000004</v>
      </c>
      <c r="I41" s="12"/>
      <c r="Z41" s="13"/>
    </row>
    <row r="42" spans="2:26" x14ac:dyDescent="0.25">
      <c r="B42" s="5">
        <v>44.83</v>
      </c>
      <c r="C42" s="8">
        <v>0.96330000000000005</v>
      </c>
      <c r="E42" s="10">
        <v>61</v>
      </c>
      <c r="F42" s="10">
        <v>0.49559999999999998</v>
      </c>
      <c r="G42" s="10">
        <v>0.6956</v>
      </c>
      <c r="I42" s="12"/>
      <c r="Z42" s="13"/>
    </row>
    <row r="43" spans="2:26" x14ac:dyDescent="0.25">
      <c r="B43" s="5">
        <v>51.884999999999998</v>
      </c>
      <c r="C43" s="8">
        <v>0.75160000000000005</v>
      </c>
      <c r="E43" s="10">
        <v>62</v>
      </c>
      <c r="F43" s="10">
        <v>0.48409999999999997</v>
      </c>
      <c r="G43" s="10">
        <v>0.68410000000000004</v>
      </c>
      <c r="I43" s="12"/>
      <c r="Z43" s="13"/>
    </row>
    <row r="44" spans="2:26" x14ac:dyDescent="0.25">
      <c r="B44" s="5">
        <v>46.133000000000003</v>
      </c>
      <c r="C44" s="8">
        <v>0.82620000000000005</v>
      </c>
      <c r="E44" s="10">
        <v>63</v>
      </c>
      <c r="F44" s="10">
        <v>0.47239999999999999</v>
      </c>
      <c r="G44" s="10">
        <v>0.6724</v>
      </c>
      <c r="I44" s="14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15"/>
    </row>
    <row r="45" spans="2:26" x14ac:dyDescent="0.25">
      <c r="B45" s="5">
        <v>47.258000000000003</v>
      </c>
      <c r="C45" s="8">
        <v>0.82620000000000005</v>
      </c>
      <c r="E45" s="10">
        <v>64</v>
      </c>
      <c r="F45" s="10">
        <v>0.4607</v>
      </c>
      <c r="G45" s="10">
        <v>0.66069999999999995</v>
      </c>
    </row>
    <row r="46" spans="2:26" x14ac:dyDescent="0.25">
      <c r="B46" s="5">
        <v>43.682000000000002</v>
      </c>
      <c r="C46" s="8">
        <v>0.77200000000000002</v>
      </c>
      <c r="E46" s="10">
        <v>65</v>
      </c>
      <c r="F46" s="10">
        <v>0.44929999999999998</v>
      </c>
      <c r="G46" s="10">
        <v>0.64929999999999999</v>
      </c>
    </row>
    <row r="47" spans="2:26" x14ac:dyDescent="0.25">
      <c r="B47" s="5">
        <v>60.180999999999997</v>
      </c>
      <c r="C47" s="8">
        <v>0.60129999999999995</v>
      </c>
      <c r="E47" s="10">
        <v>66</v>
      </c>
      <c r="F47" s="10">
        <v>0.43769999999999998</v>
      </c>
      <c r="G47" s="10">
        <v>0.63770000000000004</v>
      </c>
    </row>
    <row r="48" spans="2:26" x14ac:dyDescent="0.25">
      <c r="B48" s="5">
        <v>48.930999999999997</v>
      </c>
      <c r="C48" s="8">
        <v>0.75160000000000005</v>
      </c>
      <c r="E48" s="10">
        <v>67</v>
      </c>
      <c r="F48" s="10">
        <v>0.42109999999999997</v>
      </c>
      <c r="G48" s="10">
        <v>0.62109999999999999</v>
      </c>
    </row>
    <row r="49" spans="2:7" x14ac:dyDescent="0.25">
      <c r="B49" s="5">
        <v>27.611000000000001</v>
      </c>
      <c r="C49" s="8">
        <v>0.90059999999999996</v>
      </c>
      <c r="E49" s="10">
        <v>68</v>
      </c>
      <c r="F49" s="10">
        <v>0.40300000000000002</v>
      </c>
      <c r="G49" s="10">
        <v>0.60299999999999998</v>
      </c>
    </row>
    <row r="50" spans="2:7" x14ac:dyDescent="0.25">
      <c r="B50" s="5">
        <v>35.143000000000001</v>
      </c>
      <c r="C50" s="8">
        <v>0.90100000000000002</v>
      </c>
      <c r="E50" s="10">
        <v>69</v>
      </c>
      <c r="F50" s="10">
        <v>0.38500000000000001</v>
      </c>
      <c r="G50" s="10">
        <v>0.58499999999999996</v>
      </c>
    </row>
    <row r="51" spans="2:7" x14ac:dyDescent="0.25">
      <c r="B51" s="5">
        <v>48.89</v>
      </c>
      <c r="C51" s="8">
        <v>0.80649999999999999</v>
      </c>
      <c r="E51" s="10">
        <v>70</v>
      </c>
      <c r="F51" s="10">
        <v>0.36709999999999998</v>
      </c>
      <c r="G51" s="10">
        <v>0.56710000000000005</v>
      </c>
    </row>
    <row r="52" spans="2:7" x14ac:dyDescent="0.25">
      <c r="B52" s="5">
        <v>49.024000000000001</v>
      </c>
      <c r="C52" s="8">
        <v>0.75160000000000005</v>
      </c>
      <c r="E52" s="10">
        <v>71</v>
      </c>
      <c r="F52" s="10">
        <v>0.34910000000000002</v>
      </c>
      <c r="G52" s="10">
        <v>0.54910000000000003</v>
      </c>
    </row>
    <row r="53" spans="2:7" x14ac:dyDescent="0.25">
      <c r="B53" s="5">
        <v>57.850999999999999</v>
      </c>
      <c r="C53" s="8">
        <v>0.60129999999999995</v>
      </c>
      <c r="E53" s="10">
        <v>72</v>
      </c>
      <c r="F53" s="10">
        <v>0.33110000000000001</v>
      </c>
      <c r="G53" s="10">
        <v>0.53110000000000002</v>
      </c>
    </row>
    <row r="54" spans="2:7" x14ac:dyDescent="0.25">
      <c r="B54" s="5">
        <v>37.918999999999997</v>
      </c>
      <c r="C54" s="8">
        <v>0.90059999999999996</v>
      </c>
      <c r="E54" s="10">
        <v>73</v>
      </c>
      <c r="F54" s="10">
        <v>0.31340000000000001</v>
      </c>
      <c r="G54" s="10">
        <v>0.51339999999999997</v>
      </c>
    </row>
    <row r="55" spans="2:7" x14ac:dyDescent="0.25">
      <c r="B55" s="5">
        <v>34.048000000000002</v>
      </c>
      <c r="C55" s="8">
        <v>0.90100000000000002</v>
      </c>
      <c r="E55" s="10">
        <v>74</v>
      </c>
      <c r="F55" s="10">
        <v>0.29570000000000002</v>
      </c>
      <c r="G55" s="10">
        <v>0.49569999999999997</v>
      </c>
    </row>
    <row r="56" spans="2:7" x14ac:dyDescent="0.25">
      <c r="B56" s="5">
        <v>35.92</v>
      </c>
      <c r="C56" s="8">
        <v>0.90100000000000002</v>
      </c>
      <c r="E56" s="10">
        <v>75</v>
      </c>
      <c r="F56" s="10">
        <v>0.27800000000000002</v>
      </c>
      <c r="G56" s="10">
        <v>0.47799999999999998</v>
      </c>
    </row>
    <row r="57" spans="2:7" x14ac:dyDescent="0.25">
      <c r="B57" s="5">
        <v>46.597999999999999</v>
      </c>
      <c r="C57" s="8">
        <v>0.82620000000000005</v>
      </c>
      <c r="E57" s="10"/>
      <c r="F57" s="10"/>
      <c r="G57" s="10"/>
    </row>
    <row r="58" spans="2:7" x14ac:dyDescent="0.25">
      <c r="B58" s="5">
        <v>44.008000000000003</v>
      </c>
      <c r="C58" s="8">
        <v>0.82620000000000005</v>
      </c>
      <c r="E58" s="10"/>
      <c r="F58" s="10"/>
      <c r="G58" s="10"/>
    </row>
    <row r="59" spans="2:7" x14ac:dyDescent="0.25">
      <c r="B59" s="5">
        <v>47.893000000000001</v>
      </c>
      <c r="C59" s="8">
        <v>0.75160000000000005</v>
      </c>
      <c r="E59" s="10"/>
      <c r="F59" s="10"/>
      <c r="G59" s="10"/>
    </row>
    <row r="60" spans="2:7" x14ac:dyDescent="0.25">
      <c r="B60" s="5">
        <v>51.222999999999999</v>
      </c>
      <c r="C60" s="8">
        <v>0.75160000000000005</v>
      </c>
      <c r="E60" s="10"/>
      <c r="F60" s="10"/>
      <c r="G60" s="10"/>
    </row>
    <row r="61" spans="2:7" x14ac:dyDescent="0.25">
      <c r="B61" s="5">
        <v>48.003</v>
      </c>
      <c r="C61" s="8">
        <v>0.75160000000000005</v>
      </c>
      <c r="E61" s="10"/>
      <c r="F61" s="10"/>
      <c r="G61" s="10"/>
    </row>
    <row r="62" spans="2:7" x14ac:dyDescent="0.25">
      <c r="B62" s="5">
        <v>36.390999999999998</v>
      </c>
      <c r="C62" s="8">
        <v>0.90080000000000005</v>
      </c>
      <c r="E62" s="10"/>
      <c r="F62" s="10"/>
      <c r="G62" s="10"/>
    </row>
    <row r="63" spans="2:7" x14ac:dyDescent="0.25">
      <c r="B63" s="5">
        <v>45.484000000000002</v>
      </c>
      <c r="C63" s="8">
        <v>0.82620000000000005</v>
      </c>
      <c r="E63" s="10"/>
      <c r="F63" s="10"/>
      <c r="G63" s="10"/>
    </row>
    <row r="64" spans="2:7" x14ac:dyDescent="0.25">
      <c r="B64" s="5">
        <v>38.1</v>
      </c>
      <c r="C64" s="8">
        <v>1</v>
      </c>
      <c r="E64" s="10"/>
      <c r="F64" s="10"/>
      <c r="G64" s="10"/>
    </row>
    <row r="65" spans="2:7" x14ac:dyDescent="0.25">
      <c r="B65" s="5">
        <v>50.033999999999999</v>
      </c>
      <c r="C65" s="8">
        <v>0.75160000000000005</v>
      </c>
      <c r="E65" s="10"/>
      <c r="F65" s="10"/>
      <c r="G65" s="10"/>
    </row>
    <row r="66" spans="2:7" x14ac:dyDescent="0.25">
      <c r="B66" s="5">
        <v>53.390999999999998</v>
      </c>
      <c r="C66" s="8">
        <v>0.67689999999999995</v>
      </c>
      <c r="E66" s="10"/>
      <c r="F66" s="10"/>
      <c r="G66" s="10"/>
    </row>
    <row r="67" spans="2:7" x14ac:dyDescent="0.25">
      <c r="B67" s="5">
        <v>36.334000000000003</v>
      </c>
      <c r="C67" s="8">
        <v>0.90100000000000002</v>
      </c>
    </row>
    <row r="68" spans="2:7" x14ac:dyDescent="0.25">
      <c r="B68" s="5">
        <v>43.258000000000003</v>
      </c>
      <c r="C68" s="8">
        <v>0.82620000000000005</v>
      </c>
    </row>
    <row r="69" spans="2:7" x14ac:dyDescent="0.25">
      <c r="B69" s="5">
        <v>44.421999999999997</v>
      </c>
      <c r="C69" s="8">
        <v>0.82620000000000005</v>
      </c>
    </row>
    <row r="70" spans="2:7" x14ac:dyDescent="0.25">
      <c r="B70" s="5">
        <v>46.075000000000003</v>
      </c>
      <c r="C70" s="8">
        <v>0.8468</v>
      </c>
    </row>
    <row r="71" spans="2:7" x14ac:dyDescent="0.25">
      <c r="B71" s="5">
        <v>33.81</v>
      </c>
      <c r="C71" s="8">
        <v>0.90100000000000002</v>
      </c>
    </row>
    <row r="72" spans="2:7" x14ac:dyDescent="0.25">
      <c r="B72" s="5">
        <v>49.116999999999997</v>
      </c>
      <c r="C72" s="8">
        <v>0.90080000000000005</v>
      </c>
    </row>
    <row r="73" spans="2:7" x14ac:dyDescent="0.25">
      <c r="B73" s="5">
        <v>44.186</v>
      </c>
      <c r="C73" s="8">
        <v>0.90059999999999996</v>
      </c>
    </row>
    <row r="74" spans="2:7" x14ac:dyDescent="0.25">
      <c r="B74" s="5">
        <v>40.441000000000003</v>
      </c>
      <c r="C74" s="8">
        <v>0.90080000000000005</v>
      </c>
    </row>
    <row r="75" spans="2:7" x14ac:dyDescent="0.25">
      <c r="B75" s="5">
        <v>44.386000000000003</v>
      </c>
      <c r="C75" s="8">
        <v>0.82620000000000005</v>
      </c>
    </row>
    <row r="76" spans="2:7" x14ac:dyDescent="0.25">
      <c r="B76" s="5">
        <v>66.686000000000007</v>
      </c>
      <c r="C76" s="8">
        <v>0.501</v>
      </c>
    </row>
    <row r="77" spans="2:7" x14ac:dyDescent="0.25">
      <c r="B77" s="5">
        <v>51.012</v>
      </c>
      <c r="C77" s="8">
        <v>0.75160000000000005</v>
      </c>
    </row>
    <row r="78" spans="2:7" x14ac:dyDescent="0.25">
      <c r="B78" s="5">
        <v>44.043999999999997</v>
      </c>
      <c r="C78" s="8">
        <v>0.82620000000000005</v>
      </c>
    </row>
    <row r="79" spans="2:7" x14ac:dyDescent="0.25">
      <c r="B79" s="5">
        <v>64.381</v>
      </c>
      <c r="C79" s="8">
        <v>0.501</v>
      </c>
    </row>
    <row r="80" spans="2:7" x14ac:dyDescent="0.25">
      <c r="B80" s="5">
        <v>59.491</v>
      </c>
      <c r="C80" s="8">
        <v>0.67689999999999995</v>
      </c>
    </row>
    <row r="81" spans="2:3" x14ac:dyDescent="0.25">
      <c r="B81" s="5">
        <v>47.472000000000001</v>
      </c>
      <c r="C81" s="8">
        <v>0.97970000000000002</v>
      </c>
    </row>
    <row r="82" spans="2:3" x14ac:dyDescent="0.25">
      <c r="B82" s="5">
        <v>48.29</v>
      </c>
      <c r="C82" s="8">
        <v>0.75160000000000005</v>
      </c>
    </row>
    <row r="83" spans="2:3" x14ac:dyDescent="0.25">
      <c r="B83" s="5">
        <v>32.984999999999999</v>
      </c>
      <c r="C83" s="8">
        <v>0.90100000000000002</v>
      </c>
    </row>
    <row r="84" spans="2:3" x14ac:dyDescent="0.25">
      <c r="B84" s="5">
        <v>29.495000000000001</v>
      </c>
      <c r="C84" s="8">
        <v>0.90090000000000003</v>
      </c>
    </row>
    <row r="85" spans="2:3" x14ac:dyDescent="0.25">
      <c r="B85" s="5">
        <v>39.909999999999997</v>
      </c>
      <c r="C85" s="8">
        <v>0.90080000000000005</v>
      </c>
    </row>
    <row r="86" spans="2:3" x14ac:dyDescent="0.25">
      <c r="B86" s="5">
        <v>52.709000000000003</v>
      </c>
      <c r="C86" s="8">
        <v>0.75160000000000005</v>
      </c>
    </row>
    <row r="87" spans="2:3" x14ac:dyDescent="0.25">
      <c r="B87" s="5">
        <v>49.829000000000001</v>
      </c>
      <c r="C87" s="8">
        <v>0.75160000000000005</v>
      </c>
    </row>
    <row r="88" spans="2:3" x14ac:dyDescent="0.25">
      <c r="B88" s="5">
        <v>38.381999999999998</v>
      </c>
      <c r="C88" s="8">
        <v>0.90080000000000005</v>
      </c>
    </row>
    <row r="89" spans="2:3" x14ac:dyDescent="0.25">
      <c r="B89" s="5">
        <v>42.344000000000001</v>
      </c>
      <c r="C89" s="8">
        <v>0.8407</v>
      </c>
    </row>
    <row r="90" spans="2:3" x14ac:dyDescent="0.25">
      <c r="B90" s="5">
        <v>63.518999999999998</v>
      </c>
      <c r="C90" s="8">
        <v>0.501</v>
      </c>
    </row>
    <row r="91" spans="2:3" x14ac:dyDescent="0.25">
      <c r="B91" s="5">
        <v>29.489000000000001</v>
      </c>
      <c r="C91" s="8">
        <v>0</v>
      </c>
    </row>
    <row r="92" spans="2:3" x14ac:dyDescent="0.25">
      <c r="B92" s="5">
        <v>35.304000000000002</v>
      </c>
      <c r="C92" s="8">
        <v>0.90100000000000002</v>
      </c>
    </row>
    <row r="93" spans="2:3" x14ac:dyDescent="0.25">
      <c r="B93" s="5">
        <v>39.293999999999997</v>
      </c>
      <c r="C93" s="8">
        <v>0.90080000000000005</v>
      </c>
    </row>
    <row r="94" spans="2:3" x14ac:dyDescent="0.25">
      <c r="B94" s="5">
        <v>58.369</v>
      </c>
      <c r="C94" s="8">
        <v>0.60129999999999995</v>
      </c>
    </row>
    <row r="95" spans="2:3" x14ac:dyDescent="0.25">
      <c r="B95" s="5">
        <v>28.786000000000001</v>
      </c>
      <c r="C95" s="8">
        <v>0.90090000000000003</v>
      </c>
    </row>
    <row r="96" spans="2:3" x14ac:dyDescent="0.25">
      <c r="B96" s="5">
        <v>60.344999999999999</v>
      </c>
      <c r="C96" s="8">
        <v>0.60129999999999995</v>
      </c>
    </row>
    <row r="97" spans="2:3" x14ac:dyDescent="0.25">
      <c r="B97" s="5">
        <v>40.585999999999999</v>
      </c>
      <c r="C97" s="8">
        <v>0.90080000000000005</v>
      </c>
    </row>
    <row r="98" spans="2:3" x14ac:dyDescent="0.25">
      <c r="B98" s="5">
        <v>38.896999999999998</v>
      </c>
      <c r="C98" s="8">
        <v>0.90080000000000005</v>
      </c>
    </row>
    <row r="99" spans="2:3" x14ac:dyDescent="0.25">
      <c r="B99" s="5">
        <v>62.067999999999998</v>
      </c>
      <c r="C99" s="8">
        <v>0.60129999999999995</v>
      </c>
    </row>
    <row r="100" spans="2:3" x14ac:dyDescent="0.25">
      <c r="B100" s="5">
        <v>60.006</v>
      </c>
      <c r="C100" s="8">
        <v>0.60129999999999995</v>
      </c>
    </row>
    <row r="101" spans="2:3" x14ac:dyDescent="0.25">
      <c r="B101" s="5">
        <v>39.655000000000001</v>
      </c>
      <c r="C101" s="8">
        <v>0.90080000000000005</v>
      </c>
    </row>
    <row r="102" spans="2:3" x14ac:dyDescent="0.25">
      <c r="B102" s="5">
        <v>45.393999999999998</v>
      </c>
      <c r="C102" s="8">
        <v>0.82620000000000005</v>
      </c>
    </row>
    <row r="103" spans="2:3" x14ac:dyDescent="0.25">
      <c r="B103" s="5">
        <v>67.497</v>
      </c>
      <c r="C103" s="8">
        <v>0.67500000000000004</v>
      </c>
    </row>
    <row r="104" spans="2:3" x14ac:dyDescent="0.25">
      <c r="B104" s="2">
        <v>29.478000000000002</v>
      </c>
      <c r="C104" s="6">
        <v>0.90090000000000003</v>
      </c>
    </row>
    <row r="105" spans="2:3" x14ac:dyDescent="0.25">
      <c r="B105" s="2">
        <v>51.225000000000001</v>
      </c>
      <c r="C105" s="6">
        <v>0.75160000000000005</v>
      </c>
    </row>
    <row r="106" spans="2:3" x14ac:dyDescent="0.25">
      <c r="B106" s="2">
        <v>40.06</v>
      </c>
      <c r="C106" s="6">
        <v>0.90080000000000005</v>
      </c>
    </row>
    <row r="107" spans="2:3" x14ac:dyDescent="0.25">
      <c r="B107" s="2">
        <v>40.808</v>
      </c>
      <c r="C107" s="6">
        <v>0.90080000000000005</v>
      </c>
    </row>
    <row r="108" spans="2:3" x14ac:dyDescent="0.25">
      <c r="B108" s="2">
        <v>47.863</v>
      </c>
      <c r="C108" s="6">
        <v>0.75160000000000005</v>
      </c>
    </row>
    <row r="109" spans="2:3" x14ac:dyDescent="0.25">
      <c r="B109" s="2">
        <v>57.845999999999997</v>
      </c>
      <c r="C109" s="6">
        <v>0.749</v>
      </c>
    </row>
    <row r="110" spans="2:3" x14ac:dyDescent="0.25">
      <c r="B110" s="2">
        <v>39.759</v>
      </c>
      <c r="C110" s="6">
        <v>0.94040000000000001</v>
      </c>
    </row>
    <row r="111" spans="2:3" x14ac:dyDescent="0.25">
      <c r="B111" s="2">
        <v>41.061999999999998</v>
      </c>
      <c r="C111" s="6">
        <v>0.90080000000000005</v>
      </c>
    </row>
    <row r="112" spans="2:3" x14ac:dyDescent="0.25">
      <c r="B112" s="2">
        <v>44.55</v>
      </c>
      <c r="C112" s="6">
        <v>0.82389999999999997</v>
      </c>
    </row>
    <row r="113" spans="2:3" x14ac:dyDescent="0.25">
      <c r="B113" s="2">
        <v>46.408999999999999</v>
      </c>
      <c r="C113" s="6">
        <v>1</v>
      </c>
    </row>
    <row r="114" spans="2:3" x14ac:dyDescent="0.25">
      <c r="B114" s="2">
        <v>68.337000000000003</v>
      </c>
      <c r="C114" s="6">
        <v>0.36009999999999998</v>
      </c>
    </row>
    <row r="115" spans="2:3" x14ac:dyDescent="0.25">
      <c r="B115" s="2">
        <v>29.277999999999999</v>
      </c>
      <c r="C115" s="6">
        <v>0.90090000000000003</v>
      </c>
    </row>
    <row r="116" spans="2:3" x14ac:dyDescent="0.25">
      <c r="B116" s="2">
        <v>37.292000000000002</v>
      </c>
      <c r="C116" s="6">
        <v>1</v>
      </c>
    </row>
    <row r="117" spans="2:3" x14ac:dyDescent="0.25">
      <c r="B117" s="2">
        <v>46.277999999999999</v>
      </c>
      <c r="C117" s="6">
        <v>0.82620000000000005</v>
      </c>
    </row>
    <row r="118" spans="2:3" x14ac:dyDescent="0.25">
      <c r="B118" s="2">
        <v>40.761000000000003</v>
      </c>
      <c r="C118" s="6">
        <v>0.90080000000000005</v>
      </c>
    </row>
    <row r="119" spans="2:3" x14ac:dyDescent="0.25">
      <c r="B119" s="2">
        <v>40.875999999999998</v>
      </c>
      <c r="C119" s="6">
        <v>0.90080000000000005</v>
      </c>
    </row>
    <row r="120" spans="2:3" x14ac:dyDescent="0.25">
      <c r="B120" s="2">
        <v>61.747</v>
      </c>
      <c r="C120" s="6">
        <v>0.92420000000000002</v>
      </c>
    </row>
    <row r="121" spans="2:3" x14ac:dyDescent="0.25">
      <c r="B121" s="2">
        <v>50.401000000000003</v>
      </c>
      <c r="C121" s="6">
        <v>0.75160000000000005</v>
      </c>
    </row>
    <row r="122" spans="2:3" x14ac:dyDescent="0.25">
      <c r="B122" s="2">
        <v>46.954000000000001</v>
      </c>
      <c r="C122" s="6">
        <v>0.82620000000000005</v>
      </c>
    </row>
    <row r="123" spans="2:3" x14ac:dyDescent="0.25">
      <c r="B123" s="2">
        <v>45.911000000000001</v>
      </c>
      <c r="C123" s="6">
        <v>0.82620000000000005</v>
      </c>
    </row>
    <row r="124" spans="2:3" x14ac:dyDescent="0.25">
      <c r="B124" s="2">
        <v>51.548000000000002</v>
      </c>
      <c r="C124" s="6">
        <v>0.75160000000000005</v>
      </c>
    </row>
    <row r="125" spans="2:3" x14ac:dyDescent="0.25">
      <c r="B125" s="2">
        <v>52.424999999999997</v>
      </c>
      <c r="C125" s="6">
        <v>0.75160000000000005</v>
      </c>
    </row>
    <row r="126" spans="2:3" x14ac:dyDescent="0.25">
      <c r="B126" s="2">
        <v>34.652999999999999</v>
      </c>
      <c r="C126" s="6">
        <v>0.90100000000000002</v>
      </c>
    </row>
    <row r="127" spans="2:3" x14ac:dyDescent="0.25">
      <c r="B127" s="2">
        <v>48.396999999999998</v>
      </c>
      <c r="C127" s="6">
        <v>0.75160000000000005</v>
      </c>
    </row>
    <row r="128" spans="2:3" x14ac:dyDescent="0.25">
      <c r="B128" s="2">
        <v>30.033999999999999</v>
      </c>
      <c r="C128" s="6">
        <v>1</v>
      </c>
    </row>
    <row r="129" spans="2:3" x14ac:dyDescent="0.25">
      <c r="B129" s="2">
        <v>34.25</v>
      </c>
      <c r="C129" s="6">
        <v>0.90100000000000002</v>
      </c>
    </row>
    <row r="130" spans="2:3" x14ac:dyDescent="0.25">
      <c r="B130" s="2">
        <v>53.420999999999999</v>
      </c>
      <c r="C130" s="6">
        <v>0.67689999999999995</v>
      </c>
    </row>
    <row r="131" spans="2:3" x14ac:dyDescent="0.25">
      <c r="B131" s="2">
        <v>39.335000000000001</v>
      </c>
      <c r="C131" s="6">
        <v>0.90080000000000005</v>
      </c>
    </row>
    <row r="132" spans="2:3" x14ac:dyDescent="0.25">
      <c r="B132" s="2">
        <v>33.524999999999999</v>
      </c>
      <c r="C132" s="6">
        <v>0.90100000000000002</v>
      </c>
    </row>
    <row r="133" spans="2:3" x14ac:dyDescent="0.25">
      <c r="B133" s="2">
        <v>60.793999999999997</v>
      </c>
      <c r="C133" s="6">
        <v>0</v>
      </c>
    </row>
    <row r="134" spans="2:3" x14ac:dyDescent="0.25">
      <c r="B134" s="2">
        <v>48.591999999999999</v>
      </c>
      <c r="C134" s="6">
        <v>1</v>
      </c>
    </row>
    <row r="135" spans="2:3" x14ac:dyDescent="0.25">
      <c r="B135" s="2">
        <v>35.392000000000003</v>
      </c>
      <c r="C135" s="6">
        <v>0.90059999999999996</v>
      </c>
    </row>
    <row r="136" spans="2:3" x14ac:dyDescent="0.25">
      <c r="B136" s="2">
        <v>48.222000000000001</v>
      </c>
      <c r="C136" s="6">
        <v>0.75160000000000005</v>
      </c>
    </row>
    <row r="137" spans="2:3" x14ac:dyDescent="0.25">
      <c r="B137" s="2">
        <v>63.104999999999997</v>
      </c>
      <c r="C137" s="6">
        <v>1</v>
      </c>
    </row>
    <row r="138" spans="2:3" x14ac:dyDescent="0.25">
      <c r="B138" s="2">
        <v>49.844999999999999</v>
      </c>
      <c r="C138" s="6">
        <v>0.62370000000000003</v>
      </c>
    </row>
    <row r="139" spans="2:3" x14ac:dyDescent="0.25">
      <c r="B139" s="2">
        <v>57.226999999999997</v>
      </c>
      <c r="C139" s="6">
        <v>0.67689999999999995</v>
      </c>
    </row>
    <row r="140" spans="2:3" x14ac:dyDescent="0.25">
      <c r="B140" s="2">
        <v>53.231999999999999</v>
      </c>
      <c r="C140" s="6">
        <v>1</v>
      </c>
    </row>
    <row r="141" spans="2:3" x14ac:dyDescent="0.25">
      <c r="B141" s="2">
        <v>46.052999999999997</v>
      </c>
      <c r="C141" s="6">
        <v>0.82620000000000005</v>
      </c>
    </row>
    <row r="142" spans="2:3" x14ac:dyDescent="0.25">
      <c r="B142" s="2">
        <v>65.671000000000006</v>
      </c>
      <c r="C142" s="6">
        <v>0.501</v>
      </c>
    </row>
    <row r="143" spans="2:3" x14ac:dyDescent="0.25">
      <c r="B143" s="2">
        <v>43.701999999999998</v>
      </c>
      <c r="C143" s="6">
        <v>0.82620000000000005</v>
      </c>
    </row>
    <row r="144" spans="2:3" x14ac:dyDescent="0.25">
      <c r="B144" s="2">
        <v>62.837000000000003</v>
      </c>
      <c r="C144" s="6">
        <v>0.501</v>
      </c>
    </row>
    <row r="145" spans="2:3" x14ac:dyDescent="0.25">
      <c r="B145" s="2">
        <v>43.491</v>
      </c>
      <c r="C145" s="6">
        <v>1</v>
      </c>
    </row>
    <row r="146" spans="2:3" x14ac:dyDescent="0.25">
      <c r="B146" s="2">
        <v>46.776000000000003</v>
      </c>
      <c r="C146" s="6">
        <v>0.82620000000000005</v>
      </c>
    </row>
    <row r="147" spans="2:3" x14ac:dyDescent="0.25">
      <c r="B147" s="2">
        <v>50.954000000000001</v>
      </c>
      <c r="C147" s="6">
        <v>0.75160000000000005</v>
      </c>
    </row>
    <row r="148" spans="2:3" x14ac:dyDescent="0.25">
      <c r="B148" s="2">
        <v>51.161999999999999</v>
      </c>
      <c r="C148" s="6">
        <v>0.75160000000000005</v>
      </c>
    </row>
    <row r="149" spans="2:3" x14ac:dyDescent="0.25">
      <c r="B149" s="2">
        <v>56.783000000000001</v>
      </c>
      <c r="C149" s="6">
        <v>0.67689999999999995</v>
      </c>
    </row>
    <row r="150" spans="2:3" x14ac:dyDescent="0.25">
      <c r="B150" s="2">
        <v>57.503</v>
      </c>
      <c r="C150" s="6">
        <v>0.67689999999999995</v>
      </c>
    </row>
    <row r="151" spans="2:3" x14ac:dyDescent="0.25">
      <c r="B151" s="2">
        <v>50.308</v>
      </c>
      <c r="C151" s="6">
        <v>0.75160000000000005</v>
      </c>
    </row>
    <row r="152" spans="2:3" x14ac:dyDescent="0.25">
      <c r="B152" s="2">
        <v>60.155999999999999</v>
      </c>
      <c r="C152" s="6">
        <v>0.60129999999999995</v>
      </c>
    </row>
    <row r="153" spans="2:3" x14ac:dyDescent="0.25">
      <c r="B153" s="2">
        <v>46.970999999999997</v>
      </c>
      <c r="C153" s="6">
        <v>0.82620000000000005</v>
      </c>
    </row>
    <row r="154" spans="2:3" x14ac:dyDescent="0.25">
      <c r="B154" s="2">
        <v>39.433</v>
      </c>
      <c r="C154" s="6">
        <v>0.90080000000000005</v>
      </c>
    </row>
    <row r="155" spans="2:3" x14ac:dyDescent="0.25">
      <c r="B155" s="2">
        <v>68.173000000000002</v>
      </c>
      <c r="C155" s="6">
        <v>0.36009999999999998</v>
      </c>
    </row>
    <row r="156" spans="2:3" x14ac:dyDescent="0.25">
      <c r="B156" s="2">
        <v>36.005000000000003</v>
      </c>
      <c r="C156" s="6">
        <v>0.90100000000000002</v>
      </c>
    </row>
    <row r="157" spans="2:3" x14ac:dyDescent="0.25">
      <c r="B157" s="2">
        <v>59.371000000000002</v>
      </c>
      <c r="C157" s="6">
        <v>0.77869999999999995</v>
      </c>
    </row>
    <row r="158" spans="2:3" x14ac:dyDescent="0.25">
      <c r="B158" s="2">
        <v>40.610999999999997</v>
      </c>
      <c r="C158" s="6">
        <v>0.90080000000000005</v>
      </c>
    </row>
    <row r="159" spans="2:3" x14ac:dyDescent="0.25">
      <c r="B159" s="2">
        <v>45.087000000000003</v>
      </c>
      <c r="C159" s="6">
        <v>0.82620000000000005</v>
      </c>
    </row>
    <row r="160" spans="2:3" x14ac:dyDescent="0.25">
      <c r="B160" s="2">
        <v>60.011000000000003</v>
      </c>
      <c r="C160" s="6">
        <v>1</v>
      </c>
    </row>
    <row r="161" spans="2:3" x14ac:dyDescent="0.25">
      <c r="B161" s="2">
        <v>59.152000000000001</v>
      </c>
      <c r="C161" s="6">
        <v>0.60129999999999995</v>
      </c>
    </row>
    <row r="162" spans="2:3" x14ac:dyDescent="0.25">
      <c r="B162" s="2">
        <v>65.605000000000004</v>
      </c>
      <c r="C162" s="6">
        <v>0.501</v>
      </c>
    </row>
    <row r="163" spans="2:3" x14ac:dyDescent="0.25">
      <c r="B163" s="2">
        <v>63.216999999999999</v>
      </c>
      <c r="C163" s="6">
        <v>0.501</v>
      </c>
    </row>
    <row r="164" spans="2:3" x14ac:dyDescent="0.25">
      <c r="B164" s="2">
        <v>46.548999999999999</v>
      </c>
      <c r="C164" s="6">
        <v>0.82620000000000005</v>
      </c>
    </row>
    <row r="165" spans="2:3" x14ac:dyDescent="0.25">
      <c r="B165" s="2">
        <v>37.546999999999997</v>
      </c>
      <c r="C165" s="6">
        <v>0.90100000000000002</v>
      </c>
    </row>
    <row r="166" spans="2:3" x14ac:dyDescent="0.25">
      <c r="B166" s="2">
        <v>52.183999999999997</v>
      </c>
      <c r="C166" s="6">
        <v>0.75160000000000005</v>
      </c>
    </row>
    <row r="167" spans="2:3" x14ac:dyDescent="0.25">
      <c r="B167" s="2">
        <v>42.375999999999998</v>
      </c>
      <c r="C167" s="6">
        <v>0.90080000000000005</v>
      </c>
    </row>
    <row r="168" spans="2:3" x14ac:dyDescent="0.25">
      <c r="B168" s="2">
        <v>48.008000000000003</v>
      </c>
      <c r="C168" s="6">
        <v>0.75160000000000005</v>
      </c>
    </row>
    <row r="169" spans="2:3" x14ac:dyDescent="0.25">
      <c r="B169" s="2">
        <v>42.902000000000001</v>
      </c>
      <c r="C169" s="6">
        <v>0.82620000000000005</v>
      </c>
    </row>
    <row r="170" spans="2:3" x14ac:dyDescent="0.25">
      <c r="B170" s="2">
        <v>37.054000000000002</v>
      </c>
      <c r="C170" s="6">
        <v>0.90100000000000002</v>
      </c>
    </row>
    <row r="171" spans="2:3" x14ac:dyDescent="0.25">
      <c r="B171" s="2">
        <v>32.777000000000001</v>
      </c>
      <c r="C171" s="6">
        <v>0.90100000000000002</v>
      </c>
    </row>
    <row r="172" spans="2:3" x14ac:dyDescent="0.25">
      <c r="B172" s="2">
        <v>44.29</v>
      </c>
      <c r="C172" s="6">
        <v>0.82620000000000005</v>
      </c>
    </row>
    <row r="173" spans="2:3" x14ac:dyDescent="0.25">
      <c r="B173" s="2">
        <v>36.164000000000001</v>
      </c>
      <c r="C173" s="6">
        <v>0.9052</v>
      </c>
    </row>
    <row r="174" spans="2:3" x14ac:dyDescent="0.25">
      <c r="B174" s="2">
        <v>35.561999999999998</v>
      </c>
      <c r="C174" s="6">
        <v>0.90100000000000002</v>
      </c>
    </row>
    <row r="175" spans="2:3" x14ac:dyDescent="0.25">
      <c r="B175" s="2">
        <v>54.540999999999997</v>
      </c>
      <c r="C175" s="6">
        <v>0.876</v>
      </c>
    </row>
    <row r="176" spans="2:3" x14ac:dyDescent="0.25">
      <c r="B176" s="2">
        <v>55.942999999999998</v>
      </c>
      <c r="C176" s="6">
        <v>0.67689999999999995</v>
      </c>
    </row>
    <row r="177" spans="2:3" x14ac:dyDescent="0.25">
      <c r="B177" s="2">
        <v>54.401000000000003</v>
      </c>
      <c r="C177" s="6">
        <v>0.67689999999999995</v>
      </c>
    </row>
    <row r="178" spans="2:3" x14ac:dyDescent="0.25">
      <c r="B178" s="2">
        <v>40.262999999999998</v>
      </c>
      <c r="C178" s="6">
        <v>0.90080000000000005</v>
      </c>
    </row>
    <row r="179" spans="2:3" x14ac:dyDescent="0.25">
      <c r="B179" s="2">
        <v>40.268000000000001</v>
      </c>
      <c r="C179" s="6">
        <v>0.90080000000000005</v>
      </c>
    </row>
    <row r="180" spans="2:3" x14ac:dyDescent="0.25">
      <c r="B180" s="2">
        <v>33.692</v>
      </c>
      <c r="C180" s="6">
        <v>0.90100000000000002</v>
      </c>
    </row>
    <row r="181" spans="2:3" x14ac:dyDescent="0.25">
      <c r="B181" s="2">
        <v>31.97</v>
      </c>
      <c r="C181" s="6">
        <v>0.90090000000000003</v>
      </c>
    </row>
    <row r="182" spans="2:3" x14ac:dyDescent="0.25">
      <c r="B182" s="2">
        <v>31.302</v>
      </c>
      <c r="C182" s="6">
        <v>0.90090000000000003</v>
      </c>
    </row>
    <row r="183" spans="2:3" x14ac:dyDescent="0.25">
      <c r="B183" s="2">
        <v>37.037999999999997</v>
      </c>
      <c r="C183" s="6">
        <v>0.90100000000000002</v>
      </c>
    </row>
    <row r="184" spans="2:3" x14ac:dyDescent="0.25">
      <c r="B184" s="2">
        <v>36.234999999999999</v>
      </c>
      <c r="C184" s="6">
        <v>0.9677</v>
      </c>
    </row>
    <row r="185" spans="2:3" x14ac:dyDescent="0.25">
      <c r="B185" s="2">
        <v>38.104999999999997</v>
      </c>
      <c r="C185" s="6">
        <v>0.90080000000000005</v>
      </c>
    </row>
    <row r="186" spans="2:3" x14ac:dyDescent="0.25">
      <c r="B186" s="2">
        <v>37.573999999999998</v>
      </c>
      <c r="C186" s="6">
        <v>0.90100000000000002</v>
      </c>
    </row>
    <row r="187" spans="2:3" x14ac:dyDescent="0.25">
      <c r="B187" s="2">
        <v>28.626999999999999</v>
      </c>
      <c r="C187" s="6">
        <v>0.90090000000000003</v>
      </c>
    </row>
    <row r="188" spans="2:3" x14ac:dyDescent="0.25">
      <c r="B188" s="2">
        <v>30.315999999999999</v>
      </c>
      <c r="C188" s="6">
        <v>1</v>
      </c>
    </row>
    <row r="189" spans="2:3" x14ac:dyDescent="0.25">
      <c r="B189" s="2">
        <v>42.116</v>
      </c>
      <c r="C189" s="6">
        <v>0.90080000000000005</v>
      </c>
    </row>
    <row r="190" spans="2:3" x14ac:dyDescent="0.25">
      <c r="B190" s="2">
        <v>55.170999999999999</v>
      </c>
      <c r="C190" s="6">
        <v>0.67689999999999995</v>
      </c>
    </row>
    <row r="191" spans="2:3" x14ac:dyDescent="0.25">
      <c r="B191" s="2">
        <v>36.097999999999999</v>
      </c>
      <c r="C191" s="6">
        <v>0.90100000000000002</v>
      </c>
    </row>
    <row r="192" spans="2:3" x14ac:dyDescent="0.25">
      <c r="B192" s="2">
        <v>42.743000000000002</v>
      </c>
      <c r="C192" s="6">
        <v>0.90080000000000005</v>
      </c>
    </row>
    <row r="193" spans="2:3" x14ac:dyDescent="0.25">
      <c r="B193" s="2">
        <v>32.423999999999999</v>
      </c>
      <c r="C193" s="6">
        <v>0.90090000000000003</v>
      </c>
    </row>
    <row r="194" spans="2:3" x14ac:dyDescent="0.25">
      <c r="B194" s="2">
        <v>60.173000000000002</v>
      </c>
      <c r="C194" s="6">
        <v>1</v>
      </c>
    </row>
    <row r="195" spans="2:3" x14ac:dyDescent="0.25">
      <c r="B195" s="2">
        <v>46.21</v>
      </c>
      <c r="C195" s="6">
        <v>0.82620000000000005</v>
      </c>
    </row>
    <row r="196" spans="2:3" x14ac:dyDescent="0.25">
      <c r="B196" s="2">
        <v>42.209000000000003</v>
      </c>
      <c r="C196" s="6">
        <v>0.90080000000000005</v>
      </c>
    </row>
    <row r="197" spans="2:3" x14ac:dyDescent="0.25">
      <c r="B197" s="2">
        <v>50.902000000000001</v>
      </c>
      <c r="C197" s="6">
        <v>0.75160000000000005</v>
      </c>
    </row>
    <row r="198" spans="2:3" x14ac:dyDescent="0.25">
      <c r="B198" s="2">
        <v>34.584000000000003</v>
      </c>
      <c r="C198" s="6">
        <v>0.90100000000000002</v>
      </c>
    </row>
    <row r="199" spans="2:3" x14ac:dyDescent="0.25">
      <c r="B199" s="2">
        <v>51.238999999999997</v>
      </c>
      <c r="C199" s="6">
        <v>1</v>
      </c>
    </row>
    <row r="200" spans="2:3" x14ac:dyDescent="0.25">
      <c r="B200" s="2">
        <v>54.267000000000003</v>
      </c>
      <c r="C200" s="6">
        <v>0.67689999999999995</v>
      </c>
    </row>
    <row r="201" spans="2:3" x14ac:dyDescent="0.25">
      <c r="B201" s="2">
        <v>53.35</v>
      </c>
      <c r="C201" s="6">
        <v>0.67689999999999995</v>
      </c>
    </row>
    <row r="202" spans="2:3" x14ac:dyDescent="0.25">
      <c r="B202" s="2">
        <v>46.414999999999999</v>
      </c>
      <c r="C202" s="6">
        <v>0.82689999999999997</v>
      </c>
    </row>
    <row r="203" spans="2:3" x14ac:dyDescent="0.25">
      <c r="B203" s="2">
        <v>46.91</v>
      </c>
      <c r="C203" s="6">
        <v>0.82620000000000005</v>
      </c>
    </row>
    <row r="204" spans="2:3" x14ac:dyDescent="0.25">
      <c r="B204" s="2">
        <v>47.962000000000003</v>
      </c>
      <c r="C204" s="6">
        <v>0.75160000000000005</v>
      </c>
    </row>
    <row r="205" spans="2:3" x14ac:dyDescent="0.25">
      <c r="B205" s="2">
        <v>38.723999999999997</v>
      </c>
      <c r="C205" s="6">
        <v>1</v>
      </c>
    </row>
    <row r="206" spans="2:3" x14ac:dyDescent="0.25">
      <c r="B206" s="2">
        <v>38.459000000000003</v>
      </c>
      <c r="C206" s="6">
        <v>0.78849999999999998</v>
      </c>
    </row>
    <row r="207" spans="2:3" x14ac:dyDescent="0.25">
      <c r="B207" s="2">
        <v>45.087000000000003</v>
      </c>
      <c r="C207" s="6">
        <v>0.82620000000000005</v>
      </c>
    </row>
    <row r="208" spans="2:3" x14ac:dyDescent="0.25">
      <c r="B208" s="2">
        <v>53.856999999999999</v>
      </c>
      <c r="C208" s="6">
        <v>0.67689999999999995</v>
      </c>
    </row>
    <row r="209" spans="2:3" x14ac:dyDescent="0.25">
      <c r="B209" s="2">
        <v>44.11</v>
      </c>
      <c r="C209" s="6">
        <v>0.97019999999999995</v>
      </c>
    </row>
    <row r="210" spans="2:3" x14ac:dyDescent="0.25">
      <c r="B210" s="2">
        <v>56.948</v>
      </c>
      <c r="C210" s="6">
        <v>0.67689999999999995</v>
      </c>
    </row>
    <row r="211" spans="2:3" x14ac:dyDescent="0.25">
      <c r="B211" s="2">
        <v>39.466000000000001</v>
      </c>
      <c r="C211" s="6">
        <v>0.90080000000000005</v>
      </c>
    </row>
    <row r="212" spans="2:3" x14ac:dyDescent="0.25">
      <c r="B212" s="2">
        <v>51.015000000000001</v>
      </c>
      <c r="C212" s="6">
        <v>0.75160000000000005</v>
      </c>
    </row>
    <row r="213" spans="2:3" x14ac:dyDescent="0.25">
      <c r="B213" s="2">
        <v>53.161000000000001</v>
      </c>
      <c r="C213" s="6">
        <v>0.82620000000000005</v>
      </c>
    </row>
    <row r="214" spans="2:3" x14ac:dyDescent="0.25">
      <c r="B214" s="2">
        <v>45.427</v>
      </c>
      <c r="C214" s="6">
        <v>0.82620000000000005</v>
      </c>
    </row>
    <row r="215" spans="2:3" x14ac:dyDescent="0.25">
      <c r="B215" s="2">
        <v>31.815999999999999</v>
      </c>
      <c r="C215" s="6">
        <v>0.90090000000000003</v>
      </c>
    </row>
    <row r="216" spans="2:3" x14ac:dyDescent="0.25">
      <c r="B216" s="2">
        <v>47.447000000000003</v>
      </c>
      <c r="C216" s="6">
        <v>0.82620000000000005</v>
      </c>
    </row>
    <row r="217" spans="2:3" x14ac:dyDescent="0.25">
      <c r="B217" s="2">
        <v>55.234000000000002</v>
      </c>
      <c r="C217" s="6">
        <v>0.4078</v>
      </c>
    </row>
    <row r="218" spans="2:3" x14ac:dyDescent="0.25">
      <c r="B218" s="2">
        <v>65.938999999999993</v>
      </c>
      <c r="C218" s="6">
        <v>0.59630000000000005</v>
      </c>
    </row>
    <row r="219" spans="2:3" x14ac:dyDescent="0.25">
      <c r="B219" s="2">
        <v>33.005000000000003</v>
      </c>
      <c r="C219" s="6">
        <v>0.98580000000000001</v>
      </c>
    </row>
    <row r="220" spans="2:3" x14ac:dyDescent="0.25">
      <c r="B220" s="2">
        <v>35.555999999999997</v>
      </c>
      <c r="C220" s="6">
        <v>1</v>
      </c>
    </row>
    <row r="221" spans="2:3" x14ac:dyDescent="0.25">
      <c r="B221" s="2">
        <v>59.02</v>
      </c>
      <c r="C221" s="6">
        <v>0.60129999999999995</v>
      </c>
    </row>
    <row r="222" spans="2:3" x14ac:dyDescent="0.25">
      <c r="B222" s="2">
        <v>38.029000000000003</v>
      </c>
      <c r="C222" s="6">
        <v>0.90080000000000005</v>
      </c>
    </row>
    <row r="223" spans="2:3" x14ac:dyDescent="0.25">
      <c r="B223" s="2">
        <v>62.674999999999997</v>
      </c>
      <c r="C223" s="6">
        <v>0.60129999999999995</v>
      </c>
    </row>
    <row r="224" spans="2:3" x14ac:dyDescent="0.25">
      <c r="B224" s="2">
        <v>33.267000000000003</v>
      </c>
      <c r="C224" s="6">
        <v>0.90100000000000002</v>
      </c>
    </row>
    <row r="225" spans="2:3" x14ac:dyDescent="0.25">
      <c r="B225" s="2">
        <v>32.095999999999997</v>
      </c>
      <c r="C225" s="6">
        <v>0.90090000000000003</v>
      </c>
    </row>
    <row r="226" spans="2:3" x14ac:dyDescent="0.25">
      <c r="B226" s="2">
        <v>74.864000000000004</v>
      </c>
      <c r="C226" s="6">
        <v>0.30620000000000003</v>
      </c>
    </row>
    <row r="227" spans="2:3" x14ac:dyDescent="0.25">
      <c r="B227" s="2">
        <v>38.749000000000002</v>
      </c>
      <c r="C227" s="6">
        <v>0.91490000000000005</v>
      </c>
    </row>
    <row r="228" spans="2:3" x14ac:dyDescent="0.25">
      <c r="B228" s="2">
        <v>61.216000000000001</v>
      </c>
      <c r="C228" s="6">
        <v>0.85529999999999995</v>
      </c>
    </row>
    <row r="229" spans="2:3" x14ac:dyDescent="0.25">
      <c r="B229" s="2">
        <v>39.698999999999998</v>
      </c>
      <c r="C229" s="6">
        <v>1</v>
      </c>
    </row>
    <row r="230" spans="2:3" x14ac:dyDescent="0.25">
      <c r="B230" s="2">
        <v>40.29</v>
      </c>
      <c r="C230" s="6">
        <v>0.90080000000000005</v>
      </c>
    </row>
    <row r="231" spans="2:3" x14ac:dyDescent="0.25">
      <c r="B231" s="2">
        <v>60.176000000000002</v>
      </c>
      <c r="C231" s="6">
        <v>1</v>
      </c>
    </row>
    <row r="232" spans="2:3" x14ac:dyDescent="0.25">
      <c r="B232" s="2">
        <v>40.292999999999999</v>
      </c>
      <c r="C232" s="6">
        <v>0.90080000000000005</v>
      </c>
    </row>
    <row r="233" spans="2:3" x14ac:dyDescent="0.25">
      <c r="B233" s="2">
        <v>60.131999999999998</v>
      </c>
      <c r="C233" s="6">
        <v>0.61929999999999996</v>
      </c>
    </row>
    <row r="234" spans="2:3" x14ac:dyDescent="0.25">
      <c r="B234" s="2">
        <v>65.418999999999997</v>
      </c>
      <c r="C234" s="6">
        <v>0.501</v>
      </c>
    </row>
    <row r="235" spans="2:3" x14ac:dyDescent="0.25">
      <c r="B235" s="2">
        <v>43.753999999999998</v>
      </c>
      <c r="C235" s="6">
        <v>0.82620000000000005</v>
      </c>
    </row>
    <row r="236" spans="2:3" x14ac:dyDescent="0.25">
      <c r="B236" s="2">
        <v>33.119999999999997</v>
      </c>
      <c r="C236" s="6">
        <v>0.91</v>
      </c>
    </row>
    <row r="237" spans="2:3" x14ac:dyDescent="0.25">
      <c r="B237" s="2">
        <v>58.432000000000002</v>
      </c>
      <c r="C237" s="6">
        <v>0.60129999999999995</v>
      </c>
    </row>
    <row r="238" spans="2:3" x14ac:dyDescent="0.25">
      <c r="B238" s="2">
        <v>52.055</v>
      </c>
      <c r="C238" s="6">
        <v>0.75160000000000005</v>
      </c>
    </row>
    <row r="239" spans="2:3" x14ac:dyDescent="0.25">
      <c r="B239" s="2">
        <v>44.006</v>
      </c>
      <c r="C239" s="6">
        <v>0</v>
      </c>
    </row>
    <row r="240" spans="2:3" x14ac:dyDescent="0.25">
      <c r="B240" s="2">
        <v>32.601999999999997</v>
      </c>
      <c r="C240" s="6">
        <v>0.90090000000000003</v>
      </c>
    </row>
    <row r="241" spans="2:3" x14ac:dyDescent="0.25">
      <c r="B241" s="2">
        <v>32.960999999999999</v>
      </c>
      <c r="C241" s="6">
        <v>0.90100000000000002</v>
      </c>
    </row>
    <row r="242" spans="2:3" x14ac:dyDescent="0.25">
      <c r="B242" s="2">
        <v>70.257000000000005</v>
      </c>
      <c r="C242" s="6">
        <v>0.36009999999999998</v>
      </c>
    </row>
    <row r="243" spans="2:3" x14ac:dyDescent="0.25">
      <c r="B243" s="2">
        <v>49.459000000000003</v>
      </c>
      <c r="C243" s="6">
        <v>0.75160000000000005</v>
      </c>
    </row>
    <row r="244" spans="2:3" x14ac:dyDescent="0.25">
      <c r="B244" s="2">
        <v>40.994</v>
      </c>
      <c r="C244" s="6">
        <v>0.90080000000000005</v>
      </c>
    </row>
    <row r="245" spans="2:3" x14ac:dyDescent="0.25">
      <c r="B245" s="2">
        <v>50.401000000000003</v>
      </c>
      <c r="C245" s="6">
        <v>0.75160000000000005</v>
      </c>
    </row>
    <row r="246" spans="2:3" x14ac:dyDescent="0.25">
      <c r="B246" s="2">
        <v>31.611000000000001</v>
      </c>
      <c r="C246" s="6">
        <v>1</v>
      </c>
    </row>
    <row r="247" spans="2:3" x14ac:dyDescent="0.25">
      <c r="B247" s="2">
        <v>37.414999999999999</v>
      </c>
      <c r="C247" s="6">
        <v>0.90100000000000002</v>
      </c>
    </row>
    <row r="248" spans="2:3" x14ac:dyDescent="0.25">
      <c r="B248" s="2">
        <v>53.790999999999997</v>
      </c>
      <c r="C248" s="6">
        <v>0.67689999999999995</v>
      </c>
    </row>
    <row r="249" spans="2:3" x14ac:dyDescent="0.25">
      <c r="B249" s="2">
        <v>58.686</v>
      </c>
      <c r="C249" s="6">
        <v>0.60129999999999995</v>
      </c>
    </row>
    <row r="250" spans="2:3" x14ac:dyDescent="0.25">
      <c r="B250" s="2">
        <v>35.677</v>
      </c>
      <c r="C250" s="6">
        <v>0.90100000000000002</v>
      </c>
    </row>
    <row r="251" spans="2:3" x14ac:dyDescent="0.25">
      <c r="B251" s="2">
        <v>49.517000000000003</v>
      </c>
      <c r="C251" s="6">
        <v>0.86140000000000005</v>
      </c>
    </row>
    <row r="252" spans="2:3" x14ac:dyDescent="0.25">
      <c r="B252" s="2">
        <v>61.438000000000002</v>
      </c>
      <c r="C252" s="6">
        <v>0.90510000000000002</v>
      </c>
    </row>
    <row r="253" spans="2:3" x14ac:dyDescent="0.25">
      <c r="B253" s="2">
        <v>48.381</v>
      </c>
      <c r="C253" s="6">
        <v>0.75160000000000005</v>
      </c>
    </row>
    <row r="254" spans="2:3" x14ac:dyDescent="0.25">
      <c r="B254" s="2">
        <v>37.988</v>
      </c>
      <c r="C254" s="6">
        <v>0.90080000000000005</v>
      </c>
    </row>
    <row r="255" spans="2:3" x14ac:dyDescent="0.25">
      <c r="B255" s="2">
        <v>60.881999999999998</v>
      </c>
      <c r="C255" s="6">
        <v>0.60129999999999995</v>
      </c>
    </row>
    <row r="256" spans="2:3" x14ac:dyDescent="0.25">
      <c r="B256" s="2">
        <v>39.323999999999998</v>
      </c>
      <c r="C256" s="6">
        <v>0.90139999999999998</v>
      </c>
    </row>
    <row r="257" spans="2:3" x14ac:dyDescent="0.25">
      <c r="B257" s="2">
        <v>35.337000000000003</v>
      </c>
      <c r="C257" s="6">
        <v>0.90100000000000002</v>
      </c>
    </row>
    <row r="258" spans="2:3" x14ac:dyDescent="0.25">
      <c r="B258" s="2">
        <v>36.027000000000001</v>
      </c>
      <c r="C258" s="6">
        <v>0.90100000000000002</v>
      </c>
    </row>
    <row r="259" spans="2:3" x14ac:dyDescent="0.25">
      <c r="B259" s="2">
        <v>66.774000000000001</v>
      </c>
      <c r="C259" s="6">
        <v>0.501</v>
      </c>
    </row>
    <row r="260" spans="2:3" x14ac:dyDescent="0.25">
      <c r="B260" s="2">
        <v>32.597000000000001</v>
      </c>
      <c r="C260" s="6">
        <v>0.90090000000000003</v>
      </c>
    </row>
    <row r="261" spans="2:3" x14ac:dyDescent="0.25">
      <c r="B261" s="2">
        <v>46.436999999999998</v>
      </c>
      <c r="C261" s="6">
        <v>0.82620000000000005</v>
      </c>
    </row>
    <row r="262" spans="2:3" x14ac:dyDescent="0.25">
      <c r="B262" s="2">
        <v>51.088000000000001</v>
      </c>
      <c r="C262" s="6">
        <v>0.77129999999999999</v>
      </c>
    </row>
    <row r="263" spans="2:3" x14ac:dyDescent="0.25">
      <c r="B263" s="2">
        <v>48.32</v>
      </c>
      <c r="C263" s="6">
        <v>0.75160000000000005</v>
      </c>
    </row>
    <row r="264" spans="2:3" x14ac:dyDescent="0.25">
      <c r="B264" s="2">
        <v>46.883000000000003</v>
      </c>
      <c r="C264" s="6">
        <v>0.82620000000000005</v>
      </c>
    </row>
    <row r="265" spans="2:3" x14ac:dyDescent="0.25">
      <c r="B265" s="2">
        <v>44.317999999999998</v>
      </c>
      <c r="C265" s="6">
        <v>0.82620000000000005</v>
      </c>
    </row>
    <row r="266" spans="2:3" x14ac:dyDescent="0.25">
      <c r="B266" s="2">
        <v>49.790999999999997</v>
      </c>
      <c r="C266" s="6">
        <v>0.75160000000000005</v>
      </c>
    </row>
    <row r="267" spans="2:3" x14ac:dyDescent="0.25">
      <c r="B267" s="2">
        <v>38.225999999999999</v>
      </c>
      <c r="C267" s="6">
        <v>0.30620000000000003</v>
      </c>
    </row>
    <row r="268" spans="2:3" x14ac:dyDescent="0.25">
      <c r="B268" s="2">
        <v>65.887</v>
      </c>
      <c r="C268" s="6">
        <v>1</v>
      </c>
    </row>
    <row r="269" spans="2:3" x14ac:dyDescent="0.25">
      <c r="B269" s="2">
        <v>30.308</v>
      </c>
      <c r="C269" s="6">
        <v>0.90090000000000003</v>
      </c>
    </row>
    <row r="270" spans="2:3" x14ac:dyDescent="0.25">
      <c r="B270" s="2">
        <v>32.076000000000001</v>
      </c>
      <c r="C270" s="6">
        <v>0.90090000000000003</v>
      </c>
    </row>
    <row r="271" spans="2:3" x14ac:dyDescent="0.25">
      <c r="B271" s="2">
        <v>49.790999999999997</v>
      </c>
      <c r="C271" s="6">
        <v>0.75160000000000005</v>
      </c>
    </row>
    <row r="272" spans="2:3" x14ac:dyDescent="0.25">
      <c r="B272" s="2">
        <v>59.186999999999998</v>
      </c>
      <c r="C272" s="6">
        <v>0.96060000000000001</v>
      </c>
    </row>
    <row r="273" spans="2:3" x14ac:dyDescent="0.25">
      <c r="B273" s="2">
        <v>34.972999999999999</v>
      </c>
      <c r="C273" s="6">
        <v>0.90080000000000005</v>
      </c>
    </row>
    <row r="274" spans="2:3" x14ac:dyDescent="0.25">
      <c r="B274" s="2">
        <v>47.203000000000003</v>
      </c>
      <c r="C274" s="6">
        <v>0.82620000000000005</v>
      </c>
    </row>
    <row r="275" spans="2:3" x14ac:dyDescent="0.25">
      <c r="B275" s="2">
        <v>32.892000000000003</v>
      </c>
      <c r="C275" s="6">
        <v>0.90100000000000002</v>
      </c>
    </row>
    <row r="276" spans="2:3" x14ac:dyDescent="0.25">
      <c r="B276" s="2">
        <v>57.569000000000003</v>
      </c>
      <c r="C276" s="6">
        <v>0.67689999999999995</v>
      </c>
    </row>
    <row r="277" spans="2:3" x14ac:dyDescent="0.25">
      <c r="B277" s="2">
        <v>53.12</v>
      </c>
      <c r="C277" s="6">
        <v>0.81779999999999997</v>
      </c>
    </row>
    <row r="278" spans="2:3" x14ac:dyDescent="0.25">
      <c r="B278" s="2">
        <v>71.363</v>
      </c>
      <c r="C278" s="6">
        <v>0.36009999999999998</v>
      </c>
    </row>
    <row r="279" spans="2:3" x14ac:dyDescent="0.25">
      <c r="B279" s="2">
        <v>53.335999999999999</v>
      </c>
      <c r="C279" s="6">
        <v>0.67689999999999995</v>
      </c>
    </row>
    <row r="280" spans="2:3" x14ac:dyDescent="0.25">
      <c r="B280" s="2">
        <v>34.838999999999999</v>
      </c>
      <c r="C280" s="6">
        <v>1</v>
      </c>
    </row>
    <row r="281" spans="2:3" x14ac:dyDescent="0.25">
      <c r="B281" s="2">
        <v>36.276000000000003</v>
      </c>
      <c r="C281" s="6">
        <v>0.90100000000000002</v>
      </c>
    </row>
    <row r="282" spans="2:3" x14ac:dyDescent="0.25">
      <c r="B282" s="2">
        <v>67.116</v>
      </c>
      <c r="C282" s="6">
        <v>0.501</v>
      </c>
    </row>
    <row r="283" spans="2:3" x14ac:dyDescent="0.25">
      <c r="B283" s="2">
        <v>71.385000000000005</v>
      </c>
      <c r="C283" s="6">
        <v>0.68520000000000003</v>
      </c>
    </row>
    <row r="284" spans="2:3" x14ac:dyDescent="0.25">
      <c r="B284" s="2">
        <v>36.901000000000003</v>
      </c>
      <c r="C284" s="6">
        <v>0.90100000000000002</v>
      </c>
    </row>
    <row r="285" spans="2:3" x14ac:dyDescent="0.25">
      <c r="B285" s="2">
        <v>64.832999999999998</v>
      </c>
      <c r="C285" s="6">
        <v>0.3145</v>
      </c>
    </row>
    <row r="286" spans="2:3" x14ac:dyDescent="0.25">
      <c r="B286" s="2">
        <v>34.883000000000003</v>
      </c>
      <c r="C286" s="6">
        <v>1</v>
      </c>
    </row>
    <row r="287" spans="2:3" x14ac:dyDescent="0.25">
      <c r="B287" s="2">
        <v>42.5</v>
      </c>
      <c r="C287" s="6">
        <v>0.76870000000000005</v>
      </c>
    </row>
    <row r="288" spans="2:3" x14ac:dyDescent="0.25">
      <c r="B288" s="2">
        <v>36.722999999999999</v>
      </c>
      <c r="C288" s="6">
        <v>0</v>
      </c>
    </row>
    <row r="289" spans="2:3" x14ac:dyDescent="0.25">
      <c r="B289" s="2">
        <v>42.292000000000002</v>
      </c>
      <c r="C289" s="6">
        <v>0.90080000000000005</v>
      </c>
    </row>
    <row r="290" spans="2:3" x14ac:dyDescent="0.25">
      <c r="B290" s="2">
        <v>44.295999999999999</v>
      </c>
      <c r="C290" s="6">
        <v>0.82620000000000005</v>
      </c>
    </row>
    <row r="291" spans="2:3" x14ac:dyDescent="0.25">
      <c r="B291" s="2">
        <v>68.408000000000001</v>
      </c>
      <c r="C291" s="6">
        <v>0.80800000000000005</v>
      </c>
    </row>
    <row r="292" spans="2:3" x14ac:dyDescent="0.25">
      <c r="B292" s="2">
        <v>30.699000000000002</v>
      </c>
      <c r="C292" s="6">
        <v>0.90090000000000003</v>
      </c>
    </row>
    <row r="293" spans="2:3" x14ac:dyDescent="0.25">
      <c r="B293" s="2">
        <v>67.902000000000001</v>
      </c>
      <c r="C293" s="6">
        <v>1</v>
      </c>
    </row>
    <row r="294" spans="2:3" x14ac:dyDescent="0.25">
      <c r="B294" s="2">
        <v>41.04</v>
      </c>
      <c r="C294" s="6">
        <v>0.90080000000000005</v>
      </c>
    </row>
    <row r="295" spans="2:3" x14ac:dyDescent="0.25">
      <c r="B295" s="2">
        <v>35.936999999999998</v>
      </c>
      <c r="C295" s="6">
        <v>0.90100000000000002</v>
      </c>
    </row>
    <row r="296" spans="2:3" x14ac:dyDescent="0.25">
      <c r="B296" s="2">
        <v>33.286999999999999</v>
      </c>
      <c r="C296" s="6">
        <v>0.90100000000000002</v>
      </c>
    </row>
    <row r="297" spans="2:3" x14ac:dyDescent="0.25">
      <c r="B297" s="2">
        <v>37.207000000000001</v>
      </c>
      <c r="C297" s="6">
        <v>0.90100000000000002</v>
      </c>
    </row>
    <row r="298" spans="2:3" x14ac:dyDescent="0.25">
      <c r="B298" s="2">
        <v>47.003999999999998</v>
      </c>
      <c r="C298" s="6">
        <v>0.8236</v>
      </c>
    </row>
    <row r="299" spans="2:3" x14ac:dyDescent="0.25">
      <c r="B299" s="2">
        <v>65.799000000000007</v>
      </c>
      <c r="C299" s="6">
        <v>0.501</v>
      </c>
    </row>
    <row r="300" spans="2:3" x14ac:dyDescent="0.25">
      <c r="B300" s="2">
        <v>38.146000000000001</v>
      </c>
      <c r="C300" s="6">
        <v>0.90100000000000002</v>
      </c>
    </row>
    <row r="301" spans="2:3" x14ac:dyDescent="0.25">
      <c r="B301" s="2">
        <v>39.835999999999999</v>
      </c>
      <c r="C301" s="6">
        <v>0.90080000000000005</v>
      </c>
    </row>
    <row r="302" spans="2:3" x14ac:dyDescent="0.25">
      <c r="B302" s="2">
        <v>47.017000000000003</v>
      </c>
      <c r="C302" s="6">
        <v>0.82620000000000005</v>
      </c>
    </row>
    <row r="303" spans="2:3" x14ac:dyDescent="0.25">
      <c r="B303" s="2">
        <v>43.198</v>
      </c>
      <c r="C303" s="6">
        <v>0.82620000000000005</v>
      </c>
    </row>
    <row r="304" spans="2:3" x14ac:dyDescent="0.25">
      <c r="B304" s="2">
        <v>33.295000000000002</v>
      </c>
      <c r="C304" s="6">
        <v>0.93210000000000004</v>
      </c>
    </row>
    <row r="305" spans="2:3" x14ac:dyDescent="0.25">
      <c r="B305" s="2">
        <v>49.292000000000002</v>
      </c>
      <c r="C305" s="6">
        <v>0.75160000000000005</v>
      </c>
    </row>
    <row r="306" spans="2:3" x14ac:dyDescent="0.25">
      <c r="B306" s="2">
        <v>35.83</v>
      </c>
      <c r="C306" s="6">
        <v>0.90100000000000002</v>
      </c>
    </row>
    <row r="307" spans="2:3" x14ac:dyDescent="0.25">
      <c r="B307" s="2">
        <v>48.725999999999999</v>
      </c>
      <c r="C307" s="6">
        <v>0.75160000000000005</v>
      </c>
    </row>
    <row r="308" spans="2:3" x14ac:dyDescent="0.25">
      <c r="B308" s="2">
        <v>42.600999999999999</v>
      </c>
      <c r="C308" s="6">
        <v>0.90080000000000005</v>
      </c>
    </row>
    <row r="309" spans="2:3" x14ac:dyDescent="0.25">
      <c r="B309" s="2">
        <v>58.191000000000003</v>
      </c>
      <c r="C309" s="6">
        <v>0.3967</v>
      </c>
    </row>
    <row r="310" spans="2:3" x14ac:dyDescent="0.25">
      <c r="B310" s="2">
        <v>41.100999999999999</v>
      </c>
      <c r="C310" s="6">
        <v>0.95030000000000003</v>
      </c>
    </row>
    <row r="311" spans="2:3" x14ac:dyDescent="0.25">
      <c r="B311" s="2">
        <v>44.314999999999998</v>
      </c>
      <c r="C311" s="6">
        <v>0.82620000000000005</v>
      </c>
    </row>
    <row r="312" spans="2:3" x14ac:dyDescent="0.25">
      <c r="B312" s="2">
        <v>59.302</v>
      </c>
      <c r="C312" s="6">
        <v>0.60129999999999995</v>
      </c>
    </row>
    <row r="313" spans="2:3" x14ac:dyDescent="0.25">
      <c r="B313" s="2">
        <v>40.244</v>
      </c>
      <c r="C313" s="6">
        <v>0.90080000000000005</v>
      </c>
    </row>
    <row r="314" spans="2:3" x14ac:dyDescent="0.25">
      <c r="B314" s="2">
        <v>43.066000000000003</v>
      </c>
      <c r="C314" s="6">
        <v>1</v>
      </c>
    </row>
    <row r="315" spans="2:3" x14ac:dyDescent="0.25">
      <c r="B315" s="2">
        <v>51.625</v>
      </c>
      <c r="C315" s="6">
        <v>0.75160000000000005</v>
      </c>
    </row>
    <row r="316" spans="2:3" x14ac:dyDescent="0.25">
      <c r="B316" s="2">
        <v>32.81</v>
      </c>
      <c r="C316" s="6">
        <v>1</v>
      </c>
    </row>
    <row r="317" spans="2:3" x14ac:dyDescent="0.25">
      <c r="B317" s="2">
        <v>48.497999999999998</v>
      </c>
      <c r="C317" s="6">
        <v>0.90059999999999996</v>
      </c>
    </row>
    <row r="318" spans="2:3" x14ac:dyDescent="0.25">
      <c r="B318" s="2">
        <v>34.886000000000003</v>
      </c>
      <c r="C318" s="6">
        <v>0.90100000000000002</v>
      </c>
    </row>
    <row r="319" spans="2:3" x14ac:dyDescent="0.25">
      <c r="B319" s="2">
        <v>38.179000000000002</v>
      </c>
      <c r="C319" s="6">
        <v>0.90080000000000005</v>
      </c>
    </row>
    <row r="320" spans="2:3" x14ac:dyDescent="0.25">
      <c r="B320" s="2">
        <v>39.877000000000002</v>
      </c>
      <c r="C320" s="6">
        <v>0.90080000000000005</v>
      </c>
    </row>
    <row r="321" spans="2:3" x14ac:dyDescent="0.25">
      <c r="B321" s="2">
        <v>46.097000000000001</v>
      </c>
      <c r="C321" s="6">
        <v>0.82620000000000005</v>
      </c>
    </row>
    <row r="322" spans="2:3" x14ac:dyDescent="0.25">
      <c r="B322" s="2">
        <v>47.265999999999998</v>
      </c>
      <c r="C322" s="6">
        <v>0.82620000000000005</v>
      </c>
    </row>
    <row r="323" spans="2:3" x14ac:dyDescent="0.25">
      <c r="B323" s="2">
        <v>38.207000000000001</v>
      </c>
      <c r="C323" s="6">
        <v>0.90080000000000005</v>
      </c>
    </row>
    <row r="324" spans="2:3" x14ac:dyDescent="0.25">
      <c r="B324" s="2">
        <v>54.896999999999998</v>
      </c>
      <c r="C324" s="6">
        <v>0.67689999999999995</v>
      </c>
    </row>
    <row r="325" spans="2:3" x14ac:dyDescent="0.25">
      <c r="B325" s="2">
        <v>44.356000000000002</v>
      </c>
      <c r="C325" s="6">
        <v>0.90080000000000005</v>
      </c>
    </row>
    <row r="326" spans="2:3" x14ac:dyDescent="0.25">
      <c r="B326" s="2">
        <v>33.387999999999998</v>
      </c>
      <c r="C326" s="6">
        <v>0.90100000000000002</v>
      </c>
    </row>
    <row r="327" spans="2:3" x14ac:dyDescent="0.25">
      <c r="B327" s="2">
        <v>39.277000000000001</v>
      </c>
      <c r="C327" s="6">
        <v>0.90080000000000005</v>
      </c>
    </row>
    <row r="328" spans="2:3" x14ac:dyDescent="0.25">
      <c r="B328" s="2">
        <v>49.24</v>
      </c>
      <c r="C328" s="6">
        <v>0.78969999999999996</v>
      </c>
    </row>
    <row r="329" spans="2:3" x14ac:dyDescent="0.25">
      <c r="B329" s="2">
        <v>34.587000000000003</v>
      </c>
      <c r="C329" s="6">
        <v>1</v>
      </c>
    </row>
    <row r="330" spans="2:3" x14ac:dyDescent="0.25">
      <c r="B330" s="2">
        <v>43.835999999999999</v>
      </c>
      <c r="C330" s="6">
        <v>0.82620000000000005</v>
      </c>
    </row>
    <row r="331" spans="2:3" x14ac:dyDescent="0.25">
      <c r="B331" s="2">
        <v>63.872</v>
      </c>
      <c r="C331" s="6">
        <v>0.58930000000000005</v>
      </c>
    </row>
    <row r="332" spans="2:3" x14ac:dyDescent="0.25">
      <c r="B332" s="2">
        <v>53.234999999999999</v>
      </c>
      <c r="C332" s="6">
        <v>0.67689999999999995</v>
      </c>
    </row>
    <row r="333" spans="2:3" x14ac:dyDescent="0.25">
      <c r="B333" s="2">
        <v>51.113</v>
      </c>
      <c r="C333" s="6">
        <v>1</v>
      </c>
    </row>
    <row r="334" spans="2:3" x14ac:dyDescent="0.25">
      <c r="B334" s="2">
        <v>42.847000000000001</v>
      </c>
      <c r="C334" s="6">
        <v>0.82620000000000005</v>
      </c>
    </row>
    <row r="335" spans="2:3" x14ac:dyDescent="0.25">
      <c r="B335" s="2">
        <v>47.241999999999997</v>
      </c>
      <c r="C335" s="6">
        <v>0.9627</v>
      </c>
    </row>
    <row r="336" spans="2:3" x14ac:dyDescent="0.25">
      <c r="B336" s="2">
        <v>67.061000000000007</v>
      </c>
      <c r="C336" s="6">
        <v>0</v>
      </c>
    </row>
    <row r="337" spans="2:3" x14ac:dyDescent="0.25">
      <c r="B337" s="2">
        <v>66.239999999999995</v>
      </c>
      <c r="C337" s="6">
        <v>0.501</v>
      </c>
    </row>
    <row r="338" spans="2:3" x14ac:dyDescent="0.25">
      <c r="B338" s="2">
        <v>42.932000000000002</v>
      </c>
      <c r="C338" s="6">
        <v>0.82620000000000005</v>
      </c>
    </row>
    <row r="339" spans="2:3" x14ac:dyDescent="0.25">
      <c r="B339" s="2">
        <v>50.33</v>
      </c>
      <c r="C339" s="6">
        <v>0</v>
      </c>
    </row>
    <row r="340" spans="2:3" x14ac:dyDescent="0.25">
      <c r="B340" s="2">
        <v>60.737000000000002</v>
      </c>
      <c r="C340" s="6">
        <v>0.60129999999999995</v>
      </c>
    </row>
    <row r="341" spans="2:3" x14ac:dyDescent="0.25">
      <c r="B341" s="2">
        <v>50.371000000000002</v>
      </c>
      <c r="C341" s="6">
        <v>0.75160000000000005</v>
      </c>
    </row>
    <row r="342" spans="2:3" x14ac:dyDescent="0.25">
      <c r="B342" s="2">
        <v>35.021999999999998</v>
      </c>
      <c r="C342" s="6">
        <v>0.9012</v>
      </c>
    </row>
    <row r="343" spans="2:3" x14ac:dyDescent="0.25">
      <c r="B343" s="2">
        <v>34.948999999999998</v>
      </c>
      <c r="C343" s="6">
        <v>0.90100000000000002</v>
      </c>
    </row>
    <row r="344" spans="2:3" x14ac:dyDescent="0.25">
      <c r="B344" s="2">
        <v>57.787999999999997</v>
      </c>
      <c r="C344" s="6">
        <v>0.93269999999999997</v>
      </c>
    </row>
    <row r="345" spans="2:3" x14ac:dyDescent="0.25">
      <c r="B345" s="2">
        <v>42.834000000000003</v>
      </c>
      <c r="C345" s="6">
        <v>0.93430000000000002</v>
      </c>
    </row>
    <row r="346" spans="2:3" x14ac:dyDescent="0.25">
      <c r="B346" s="2">
        <v>39.479999999999997</v>
      </c>
      <c r="C346" s="6">
        <v>0.90080000000000005</v>
      </c>
    </row>
    <row r="347" spans="2:3" x14ac:dyDescent="0.25">
      <c r="B347" s="2">
        <v>31.347999999999999</v>
      </c>
      <c r="C347" s="6">
        <v>0.90090000000000003</v>
      </c>
    </row>
    <row r="348" spans="2:3" x14ac:dyDescent="0.25">
      <c r="B348" s="2">
        <v>44.142000000000003</v>
      </c>
      <c r="C348" s="6">
        <v>0.82620000000000005</v>
      </c>
    </row>
    <row r="349" spans="2:3" x14ac:dyDescent="0.25">
      <c r="B349" s="2">
        <v>29.626000000000001</v>
      </c>
      <c r="C349" s="6">
        <v>0.90090000000000003</v>
      </c>
    </row>
    <row r="350" spans="2:3" x14ac:dyDescent="0.25">
      <c r="B350" s="2">
        <v>41.402000000000001</v>
      </c>
      <c r="C350" s="6">
        <v>0.90080000000000005</v>
      </c>
    </row>
    <row r="351" spans="2:3" x14ac:dyDescent="0.25">
      <c r="B351" s="2">
        <v>52.744999999999997</v>
      </c>
      <c r="C351" s="6">
        <v>0.75160000000000005</v>
      </c>
    </row>
    <row r="352" spans="2:3" x14ac:dyDescent="0.25">
      <c r="B352" s="2">
        <v>62.856000000000002</v>
      </c>
      <c r="C352" s="6">
        <v>0.501</v>
      </c>
    </row>
    <row r="353" spans="2:3" x14ac:dyDescent="0.25">
      <c r="B353" s="2">
        <v>40.008000000000003</v>
      </c>
      <c r="C353" s="6">
        <v>0.90080000000000005</v>
      </c>
    </row>
    <row r="354" spans="2:3" x14ac:dyDescent="0.25">
      <c r="B354" s="2">
        <v>42.579000000000001</v>
      </c>
      <c r="C354" s="6">
        <v>0.90080000000000005</v>
      </c>
    </row>
    <row r="355" spans="2:3" x14ac:dyDescent="0.25">
      <c r="B355" s="2">
        <v>43.427999999999997</v>
      </c>
      <c r="C355" s="6">
        <v>0.82620000000000005</v>
      </c>
    </row>
    <row r="356" spans="2:3" x14ac:dyDescent="0.25">
      <c r="B356" s="2">
        <v>36.037999999999997</v>
      </c>
      <c r="C356" s="6">
        <v>0.90100000000000002</v>
      </c>
    </row>
    <row r="357" spans="2:3" x14ac:dyDescent="0.25">
      <c r="B357" s="2">
        <v>39.704000000000001</v>
      </c>
      <c r="C357" s="6">
        <v>0.90080000000000005</v>
      </c>
    </row>
    <row r="358" spans="2:3" x14ac:dyDescent="0.25">
      <c r="B358" s="2">
        <v>46.485999999999997</v>
      </c>
      <c r="C358" s="6">
        <v>0.82620000000000005</v>
      </c>
    </row>
    <row r="359" spans="2:3" x14ac:dyDescent="0.25">
      <c r="B359" s="2">
        <v>53.106000000000002</v>
      </c>
      <c r="C359" s="6">
        <v>0.67689999999999995</v>
      </c>
    </row>
    <row r="360" spans="2:3" x14ac:dyDescent="0.25">
      <c r="B360" s="2">
        <v>44.942</v>
      </c>
      <c r="C360" s="6">
        <v>0.82620000000000005</v>
      </c>
    </row>
    <row r="361" spans="2:3" x14ac:dyDescent="0.25">
      <c r="B361" s="2">
        <v>46.905000000000001</v>
      </c>
      <c r="C361" s="6">
        <v>0.82620000000000005</v>
      </c>
    </row>
    <row r="362" spans="2:3" x14ac:dyDescent="0.25">
      <c r="B362" s="2">
        <v>37.988</v>
      </c>
      <c r="C362" s="6">
        <v>0.90080000000000005</v>
      </c>
    </row>
    <row r="363" spans="2:3" x14ac:dyDescent="0.25">
      <c r="B363" s="2">
        <v>66.188000000000002</v>
      </c>
      <c r="C363" s="6">
        <v>0.501</v>
      </c>
    </row>
    <row r="364" spans="2:3" x14ac:dyDescent="0.25">
      <c r="B364" s="2">
        <v>32.15</v>
      </c>
      <c r="C364" s="6">
        <v>0.90090000000000003</v>
      </c>
    </row>
    <row r="365" spans="2:3" x14ac:dyDescent="0.25">
      <c r="B365" s="2">
        <v>38.085999999999999</v>
      </c>
      <c r="C365" s="6">
        <v>0.90080000000000005</v>
      </c>
    </row>
    <row r="366" spans="2:3" x14ac:dyDescent="0.25">
      <c r="B366" s="2">
        <v>62.606999999999999</v>
      </c>
      <c r="C366" s="6">
        <v>0.55369999999999997</v>
      </c>
    </row>
    <row r="367" spans="2:3" x14ac:dyDescent="0.25">
      <c r="B367" s="2">
        <v>33.472999999999999</v>
      </c>
      <c r="C367" s="6">
        <v>0.90100000000000002</v>
      </c>
    </row>
    <row r="368" spans="2:3" x14ac:dyDescent="0.25">
      <c r="B368" s="2">
        <v>38.42</v>
      </c>
      <c r="C368" s="6">
        <v>0.90080000000000005</v>
      </c>
    </row>
    <row r="369" spans="2:3" x14ac:dyDescent="0.25">
      <c r="B369" s="2">
        <v>64.430000000000007</v>
      </c>
      <c r="C369" s="6">
        <v>0.501</v>
      </c>
    </row>
    <row r="370" spans="2:3" x14ac:dyDescent="0.25">
      <c r="B370" s="2">
        <v>49.96</v>
      </c>
      <c r="C370" s="6">
        <v>0.75160000000000005</v>
      </c>
    </row>
    <row r="371" spans="2:3" x14ac:dyDescent="0.25">
      <c r="B371" s="2">
        <v>46.631</v>
      </c>
      <c r="C371" s="6">
        <v>0.82620000000000005</v>
      </c>
    </row>
    <row r="372" spans="2:3" x14ac:dyDescent="0.25">
      <c r="B372" s="2">
        <v>54.664000000000001</v>
      </c>
      <c r="C372" s="6">
        <v>0.67689999999999995</v>
      </c>
    </row>
    <row r="373" spans="2:3" x14ac:dyDescent="0.25">
      <c r="B373" s="2">
        <v>57.268000000000001</v>
      </c>
      <c r="C373" s="6">
        <v>0.67689999999999995</v>
      </c>
    </row>
    <row r="374" spans="2:3" x14ac:dyDescent="0.25">
      <c r="B374" s="2">
        <v>38.368000000000002</v>
      </c>
      <c r="C374" s="6">
        <v>0.90080000000000005</v>
      </c>
    </row>
    <row r="375" spans="2:3" x14ac:dyDescent="0.25">
      <c r="B375" s="2">
        <v>36.148000000000003</v>
      </c>
      <c r="C375" s="6">
        <v>0.90100000000000002</v>
      </c>
    </row>
    <row r="376" spans="2:3" x14ac:dyDescent="0.25">
      <c r="B376" s="2">
        <v>39.293999999999997</v>
      </c>
      <c r="C376" s="6">
        <v>0.90100000000000002</v>
      </c>
    </row>
    <row r="377" spans="2:3" x14ac:dyDescent="0.25">
      <c r="B377" s="2">
        <v>67.516000000000005</v>
      </c>
      <c r="C377" s="6">
        <v>0.501</v>
      </c>
    </row>
    <row r="378" spans="2:3" x14ac:dyDescent="0.25">
      <c r="B378" s="2">
        <v>41.100999999999999</v>
      </c>
      <c r="C378" s="6">
        <v>0.90080000000000005</v>
      </c>
    </row>
    <row r="379" spans="2:3" x14ac:dyDescent="0.25">
      <c r="B379" s="2">
        <v>46.122</v>
      </c>
      <c r="C379" s="6">
        <v>0.82620000000000005</v>
      </c>
    </row>
    <row r="380" spans="2:3" x14ac:dyDescent="0.25">
      <c r="B380" s="2">
        <v>39.734000000000002</v>
      </c>
      <c r="C380" s="6">
        <v>1</v>
      </c>
    </row>
    <row r="381" spans="2:3" x14ac:dyDescent="0.25">
      <c r="B381" s="2">
        <v>47.822000000000003</v>
      </c>
      <c r="C381" s="6">
        <v>0.75160000000000005</v>
      </c>
    </row>
    <row r="382" spans="2:3" x14ac:dyDescent="0.25">
      <c r="B382" s="2">
        <v>47.072000000000003</v>
      </c>
      <c r="C382" s="6">
        <v>0.82620000000000005</v>
      </c>
    </row>
    <row r="383" spans="2:3" x14ac:dyDescent="0.25">
      <c r="B383" s="2">
        <v>43.795000000000002</v>
      </c>
      <c r="C383" s="6">
        <v>1</v>
      </c>
    </row>
    <row r="384" spans="2:3" x14ac:dyDescent="0.25">
      <c r="B384" s="2">
        <v>44.945</v>
      </c>
      <c r="C384" s="6">
        <v>0.82620000000000005</v>
      </c>
    </row>
    <row r="385" spans="2:3" x14ac:dyDescent="0.25">
      <c r="B385" s="2">
        <v>65.337000000000003</v>
      </c>
      <c r="C385" s="6">
        <v>0.501</v>
      </c>
    </row>
    <row r="386" spans="2:3" x14ac:dyDescent="0.25">
      <c r="B386" s="2">
        <v>41.744</v>
      </c>
      <c r="C386" s="6">
        <v>0.90080000000000005</v>
      </c>
    </row>
    <row r="387" spans="2:3" x14ac:dyDescent="0.25">
      <c r="B387" s="2">
        <v>43.295999999999999</v>
      </c>
      <c r="C387" s="6">
        <v>0.82620000000000005</v>
      </c>
    </row>
    <row r="388" spans="2:3" x14ac:dyDescent="0.25">
      <c r="B388" s="2">
        <v>48.848999999999997</v>
      </c>
      <c r="C388" s="6">
        <v>0.75160000000000005</v>
      </c>
    </row>
    <row r="389" spans="2:3" x14ac:dyDescent="0.25">
      <c r="B389" s="2">
        <v>43.375999999999998</v>
      </c>
      <c r="C389" s="6">
        <v>0.82620000000000005</v>
      </c>
    </row>
    <row r="390" spans="2:3" x14ac:dyDescent="0.25">
      <c r="B390" s="2">
        <v>38.804000000000002</v>
      </c>
      <c r="C390" s="6">
        <v>0.90080000000000005</v>
      </c>
    </row>
    <row r="391" spans="2:3" x14ac:dyDescent="0.25">
      <c r="B391" s="2">
        <v>34.869</v>
      </c>
      <c r="C391" s="6">
        <v>0.90100000000000002</v>
      </c>
    </row>
    <row r="392" spans="2:3" x14ac:dyDescent="0.25">
      <c r="B392" s="2">
        <v>35.715000000000003</v>
      </c>
      <c r="C392" s="6">
        <v>0.90100000000000002</v>
      </c>
    </row>
    <row r="393" spans="2:3" x14ac:dyDescent="0.25">
      <c r="B393" s="2">
        <v>33.527999999999999</v>
      </c>
      <c r="C393" s="6">
        <v>0.90100000000000002</v>
      </c>
    </row>
    <row r="394" spans="2:3" x14ac:dyDescent="0.25">
      <c r="B394" s="2">
        <v>67.286000000000001</v>
      </c>
      <c r="C394" s="6">
        <v>0.501</v>
      </c>
    </row>
    <row r="395" spans="2:3" x14ac:dyDescent="0.25">
      <c r="B395" s="2">
        <v>63.127000000000002</v>
      </c>
      <c r="C395" s="6">
        <v>1</v>
      </c>
    </row>
    <row r="396" spans="2:3" x14ac:dyDescent="0.25">
      <c r="B396" s="2">
        <v>66.144000000000005</v>
      </c>
      <c r="C396" s="6">
        <v>0.50109999999999999</v>
      </c>
    </row>
    <row r="397" spans="2:3" x14ac:dyDescent="0.25">
      <c r="B397" s="2">
        <v>43.874000000000002</v>
      </c>
      <c r="C397" s="6">
        <v>1</v>
      </c>
    </row>
    <row r="398" spans="2:3" x14ac:dyDescent="0.25">
      <c r="B398" s="2">
        <v>42.314</v>
      </c>
      <c r="C398" s="6">
        <v>0.90080000000000005</v>
      </c>
    </row>
    <row r="399" spans="2:3" x14ac:dyDescent="0.25">
      <c r="B399" s="2">
        <v>68.028000000000006</v>
      </c>
      <c r="C399" s="6">
        <v>0.36009999999999998</v>
      </c>
    </row>
    <row r="400" spans="2:3" x14ac:dyDescent="0.25">
      <c r="B400" s="2">
        <v>63.167999999999999</v>
      </c>
      <c r="C400" s="6">
        <v>0.60129999999999995</v>
      </c>
    </row>
    <row r="401" spans="2:3" x14ac:dyDescent="0.25">
      <c r="B401" s="2">
        <v>40.386000000000003</v>
      </c>
      <c r="C401" s="6">
        <v>0.90080000000000005</v>
      </c>
    </row>
    <row r="402" spans="2:3" x14ac:dyDescent="0.25">
      <c r="B402" s="2">
        <v>49.598999999999997</v>
      </c>
      <c r="C402" s="6">
        <v>0.75160000000000005</v>
      </c>
    </row>
    <row r="403" spans="2:3" x14ac:dyDescent="0.25">
      <c r="B403" s="2">
        <v>34.927</v>
      </c>
      <c r="C403" s="6">
        <v>0.90100000000000002</v>
      </c>
    </row>
    <row r="404" spans="2:3" x14ac:dyDescent="0.25">
      <c r="B404" s="2">
        <v>43.183999999999997</v>
      </c>
      <c r="C404" s="6">
        <v>0.82620000000000005</v>
      </c>
    </row>
    <row r="405" spans="2:3" x14ac:dyDescent="0.25">
      <c r="B405" s="2">
        <v>34.518999999999998</v>
      </c>
      <c r="C405" s="6">
        <v>1</v>
      </c>
    </row>
    <row r="406" spans="2:3" x14ac:dyDescent="0.25">
      <c r="B406" s="2">
        <v>40.692999999999998</v>
      </c>
      <c r="C406" s="6">
        <v>0.90080000000000005</v>
      </c>
    </row>
    <row r="407" spans="2:3" x14ac:dyDescent="0.25">
      <c r="B407" s="2">
        <v>45.283999999999999</v>
      </c>
      <c r="C407" s="6">
        <v>0.82620000000000005</v>
      </c>
    </row>
    <row r="408" spans="2:3" x14ac:dyDescent="0.25">
      <c r="B408" s="2">
        <v>51.345999999999997</v>
      </c>
      <c r="C408" s="6">
        <v>0.75160000000000005</v>
      </c>
    </row>
    <row r="409" spans="2:3" x14ac:dyDescent="0.25">
      <c r="B409" s="2">
        <v>68.882000000000005</v>
      </c>
      <c r="C409" s="6">
        <v>0.36009999999999998</v>
      </c>
    </row>
    <row r="410" spans="2:3" x14ac:dyDescent="0.25">
      <c r="B410" s="2">
        <v>48.936</v>
      </c>
      <c r="C410" s="6">
        <v>0.75160000000000005</v>
      </c>
    </row>
    <row r="411" spans="2:3" x14ac:dyDescent="0.25">
      <c r="B411" s="2">
        <v>50.423000000000002</v>
      </c>
      <c r="C411" s="6">
        <v>0.75160000000000005</v>
      </c>
    </row>
    <row r="412" spans="2:3" x14ac:dyDescent="0.25">
      <c r="B412" s="2">
        <v>70.013000000000005</v>
      </c>
      <c r="C412" s="6">
        <v>0.36649999999999999</v>
      </c>
    </row>
    <row r="413" spans="2:3" x14ac:dyDescent="0.25">
      <c r="B413" s="2">
        <v>40.048999999999999</v>
      </c>
      <c r="C413" s="6">
        <v>0.90080000000000005</v>
      </c>
    </row>
    <row r="414" spans="2:3" x14ac:dyDescent="0.25">
      <c r="B414" s="2">
        <v>42.96</v>
      </c>
      <c r="C414" s="6">
        <v>0.82620000000000005</v>
      </c>
    </row>
    <row r="415" spans="2:3" x14ac:dyDescent="0.25">
      <c r="B415" s="2">
        <v>51.548000000000002</v>
      </c>
      <c r="C415" s="6">
        <v>0.75160000000000005</v>
      </c>
    </row>
    <row r="416" spans="2:3" x14ac:dyDescent="0.25">
      <c r="B416" s="2">
        <v>42.485999999999997</v>
      </c>
      <c r="C416" s="6">
        <v>1</v>
      </c>
    </row>
    <row r="417" spans="2:3" x14ac:dyDescent="0.25">
      <c r="B417" s="2">
        <v>57.646000000000001</v>
      </c>
      <c r="C417" s="6">
        <v>0.67689999999999995</v>
      </c>
    </row>
    <row r="418" spans="2:3" x14ac:dyDescent="0.25">
      <c r="B418" s="2">
        <v>44.66</v>
      </c>
      <c r="C418" s="6">
        <v>0.501</v>
      </c>
    </row>
    <row r="419" spans="2:3" x14ac:dyDescent="0.25">
      <c r="B419" s="2">
        <v>46.968000000000004</v>
      </c>
      <c r="C419" s="6">
        <v>0.82620000000000005</v>
      </c>
    </row>
    <row r="420" spans="2:3" x14ac:dyDescent="0.25">
      <c r="B420" s="2">
        <v>61.043999999999997</v>
      </c>
      <c r="C420" s="6">
        <v>0.60129999999999995</v>
      </c>
    </row>
    <row r="421" spans="2:3" x14ac:dyDescent="0.25">
      <c r="B421" s="2">
        <v>60.189</v>
      </c>
      <c r="C421" s="6">
        <v>0.60129999999999995</v>
      </c>
    </row>
  </sheetData>
  <mergeCells count="4">
    <mergeCell ref="B4:C4"/>
    <mergeCell ref="E4:G4"/>
    <mergeCell ref="I4:Q4"/>
    <mergeCell ref="I23:Z24"/>
  </mergeCells>
  <pageMargins left="0.7" right="0.7" top="0.75" bottom="0.75" header="0.3" footer="0.3"/>
  <pageSetup orientation="portrait" r:id="rId1"/>
  <headerFooter>
    <oddFooter>&amp;L_x000D_&amp;1#&amp;"Calibri"&amp;10&amp;K000000 Fidelity Internal Information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73108-55C3-44FE-803F-CD6E739B926F}">
  <dimension ref="B1:Z103"/>
  <sheetViews>
    <sheetView showGridLines="0" showRowColHeaders="0" workbookViewId="0">
      <selection activeCell="J1" sqref="J1"/>
    </sheetView>
  </sheetViews>
  <sheetFormatPr defaultColWidth="9.140625" defaultRowHeight="15" x14ac:dyDescent="0.25"/>
  <cols>
    <col min="1" max="1" width="1.7109375" style="1" customWidth="1"/>
    <col min="2" max="2" width="9.140625" style="2"/>
    <col min="3" max="3" width="9.140625" style="6"/>
    <col min="4" max="4" width="1.7109375" style="1" customWidth="1"/>
    <col min="5" max="5" width="8.7109375" style="1" customWidth="1"/>
    <col min="6" max="9" width="10.7109375" style="1" customWidth="1"/>
    <col min="10" max="10" width="1.7109375" style="1" customWidth="1"/>
    <col min="11" max="11" width="30.140625" style="1" bestFit="1" customWidth="1"/>
    <col min="12" max="12" width="4.85546875" style="1" hidden="1" customWidth="1"/>
    <col min="13" max="17" width="8.7109375" style="1" customWidth="1"/>
    <col min="18" max="18" width="8.7109375" style="1" hidden="1" customWidth="1"/>
    <col min="19" max="19" width="8.7109375" style="1" customWidth="1"/>
    <col min="20" max="20" width="14.7109375" style="1" customWidth="1"/>
    <col min="21" max="21" width="14.7109375" style="1" hidden="1" customWidth="1"/>
    <col min="22" max="24" width="8.7109375" style="1" customWidth="1"/>
    <col min="25" max="25" width="8.7109375" style="1" hidden="1" customWidth="1"/>
    <col min="26" max="26" width="8.7109375" style="1" customWidth="1"/>
    <col min="27" max="27" width="1.7109375" style="1" customWidth="1"/>
    <col min="28" max="29" width="9.140625" style="1"/>
    <col min="30" max="30" width="10.7109375" style="1" bestFit="1" customWidth="1"/>
    <col min="31" max="16384" width="9.140625" style="1"/>
  </cols>
  <sheetData>
    <row r="1" spans="2:23" ht="12" customHeight="1" x14ac:dyDescent="0.25"/>
    <row r="2" spans="2:23" ht="26.25" x14ac:dyDescent="0.4">
      <c r="B2" s="3" t="s">
        <v>72</v>
      </c>
    </row>
    <row r="3" spans="2:23" ht="12" customHeight="1" x14ac:dyDescent="0.25"/>
    <row r="4" spans="2:23" x14ac:dyDescent="0.25">
      <c r="B4" s="57" t="s">
        <v>2</v>
      </c>
      <c r="C4" s="57"/>
      <c r="E4" s="59" t="s">
        <v>60</v>
      </c>
      <c r="F4" s="60"/>
      <c r="G4" s="60"/>
      <c r="H4" s="60"/>
      <c r="I4" s="61"/>
      <c r="K4" s="58" t="s">
        <v>18</v>
      </c>
      <c r="L4" s="58"/>
      <c r="M4" s="58"/>
      <c r="N4" s="58"/>
      <c r="O4" s="58"/>
      <c r="P4" s="58"/>
      <c r="Q4" s="58"/>
      <c r="R4" s="58"/>
      <c r="S4" s="58"/>
    </row>
    <row r="5" spans="2:23" x14ac:dyDescent="0.25">
      <c r="B5" s="4" t="s">
        <v>0</v>
      </c>
      <c r="C5" s="7" t="s">
        <v>1</v>
      </c>
      <c r="E5" s="18" t="s">
        <v>0</v>
      </c>
      <c r="F5" s="18" t="s">
        <v>74</v>
      </c>
      <c r="G5" s="18" t="s">
        <v>75</v>
      </c>
      <c r="H5" s="18" t="s">
        <v>73</v>
      </c>
      <c r="I5" s="18" t="s">
        <v>76</v>
      </c>
      <c r="K5" s="18" t="s">
        <v>17</v>
      </c>
      <c r="L5" s="18" t="s">
        <v>21</v>
      </c>
      <c r="M5" s="18" t="s">
        <v>7</v>
      </c>
      <c r="N5" s="18" t="s">
        <v>8</v>
      </c>
      <c r="O5" s="18" t="s">
        <v>9</v>
      </c>
      <c r="P5" s="18" t="s">
        <v>10</v>
      </c>
      <c r="Q5" s="18" t="s">
        <v>11</v>
      </c>
      <c r="R5" s="18" t="s">
        <v>22</v>
      </c>
      <c r="S5" s="18" t="s">
        <v>13</v>
      </c>
    </row>
    <row r="6" spans="2:23" x14ac:dyDescent="0.25">
      <c r="B6" s="5">
        <v>47.241999999999997</v>
      </c>
      <c r="C6" s="8">
        <v>0.9627</v>
      </c>
      <c r="E6" s="10">
        <v>25</v>
      </c>
      <c r="F6" s="10">
        <v>0.8</v>
      </c>
      <c r="G6" s="10">
        <v>0.95</v>
      </c>
      <c r="H6" s="10">
        <f>IF(F6&gt;0,F6-0.15,"")</f>
        <v>0.65</v>
      </c>
      <c r="I6" s="10">
        <f>IF(F6&gt;0,MIN(F6+0.35,0.99),"")</f>
        <v>0.99</v>
      </c>
      <c r="K6" s="10" t="s">
        <v>66</v>
      </c>
      <c r="L6" s="10">
        <v>0</v>
      </c>
      <c r="M6" s="16">
        <v>0.18840579710144928</v>
      </c>
      <c r="N6" s="16">
        <v>0.27536231884057971</v>
      </c>
      <c r="O6" s="16">
        <v>0.21739130434782608</v>
      </c>
      <c r="P6" s="16">
        <v>0.21739130434782608</v>
      </c>
      <c r="Q6" s="16">
        <v>0.10144927536231885</v>
      </c>
      <c r="R6" s="16">
        <v>0</v>
      </c>
      <c r="S6" s="16">
        <v>1</v>
      </c>
      <c r="W6" s="34"/>
    </row>
    <row r="7" spans="2:23" x14ac:dyDescent="0.25">
      <c r="B7" s="5">
        <v>47.472000000000001</v>
      </c>
      <c r="C7" s="8">
        <v>0.97970000000000002</v>
      </c>
      <c r="E7" s="10">
        <v>26</v>
      </c>
      <c r="F7" s="10">
        <v>0.8</v>
      </c>
      <c r="G7" s="10">
        <v>0.95</v>
      </c>
      <c r="H7" s="10">
        <f t="shared" ref="H7:H56" si="0">IF(F7&gt;0,F7-0.15,"")</f>
        <v>0.65</v>
      </c>
      <c r="I7" s="10">
        <f t="shared" ref="I7:I56" si="1">IF(F7&gt;0,MIN(F7+0.35,0.99),"")</f>
        <v>0.99</v>
      </c>
      <c r="K7" s="10" t="s">
        <v>67</v>
      </c>
      <c r="L7" s="10">
        <v>65535</v>
      </c>
      <c r="M7" s="16">
        <v>0.15384615384615385</v>
      </c>
      <c r="N7" s="16">
        <v>0.10526315789473684</v>
      </c>
      <c r="O7" s="16">
        <v>0.33333333333333331</v>
      </c>
      <c r="P7" s="16">
        <v>6.6666666666666666E-2</v>
      </c>
      <c r="Q7" s="16">
        <v>0</v>
      </c>
      <c r="R7" s="16">
        <v>65535</v>
      </c>
      <c r="S7" s="16">
        <v>0.14492753623188406</v>
      </c>
      <c r="W7" s="34"/>
    </row>
    <row r="8" spans="2:23" x14ac:dyDescent="0.25">
      <c r="B8" s="5">
        <v>44.006</v>
      </c>
      <c r="C8" s="8">
        <v>0</v>
      </c>
      <c r="E8" s="10">
        <v>27</v>
      </c>
      <c r="F8" s="10">
        <v>0.8</v>
      </c>
      <c r="G8" s="10">
        <v>0.95</v>
      </c>
      <c r="H8" s="10">
        <f t="shared" si="0"/>
        <v>0.65</v>
      </c>
      <c r="I8" s="10">
        <f t="shared" si="1"/>
        <v>0.99</v>
      </c>
      <c r="K8" s="10" t="s">
        <v>68</v>
      </c>
      <c r="L8" s="10">
        <v>65535</v>
      </c>
      <c r="M8" s="16">
        <v>7.6923076923076927E-2</v>
      </c>
      <c r="N8" s="16">
        <v>0.21052631578947367</v>
      </c>
      <c r="O8" s="16">
        <v>0.2</v>
      </c>
      <c r="P8" s="16">
        <v>0.2</v>
      </c>
      <c r="Q8" s="16">
        <v>0.42857142857142855</v>
      </c>
      <c r="R8" s="16">
        <v>65535</v>
      </c>
      <c r="S8" s="16">
        <v>0.20289855072463769</v>
      </c>
    </row>
    <row r="9" spans="2:23" x14ac:dyDescent="0.25">
      <c r="B9" s="5">
        <v>38.723999999999997</v>
      </c>
      <c r="C9" s="8">
        <v>1</v>
      </c>
      <c r="E9" s="10">
        <v>28</v>
      </c>
      <c r="F9" s="10">
        <v>0.8</v>
      </c>
      <c r="G9" s="10">
        <v>0.95</v>
      </c>
      <c r="H9" s="10">
        <f t="shared" si="0"/>
        <v>0.65</v>
      </c>
      <c r="I9" s="10">
        <f t="shared" si="1"/>
        <v>0.99</v>
      </c>
      <c r="K9" s="10" t="s">
        <v>69</v>
      </c>
      <c r="L9" s="10">
        <v>65535</v>
      </c>
      <c r="M9" s="16">
        <v>0.76923076923076927</v>
      </c>
      <c r="N9" s="16">
        <v>0.68421052631578949</v>
      </c>
      <c r="O9" s="16">
        <v>0.46666666666666667</v>
      </c>
      <c r="P9" s="16">
        <v>0.73333333333333328</v>
      </c>
      <c r="Q9" s="16">
        <v>0.5714285714285714</v>
      </c>
      <c r="R9" s="16">
        <v>65535</v>
      </c>
      <c r="S9" s="16">
        <v>0.65217391304347827</v>
      </c>
    </row>
    <row r="10" spans="2:23" x14ac:dyDescent="0.25">
      <c r="B10" s="5">
        <v>67.902000000000001</v>
      </c>
      <c r="C10" s="8">
        <v>1</v>
      </c>
      <c r="E10" s="10">
        <v>29</v>
      </c>
      <c r="F10" s="10">
        <v>0.8</v>
      </c>
      <c r="G10" s="10">
        <v>0.95</v>
      </c>
      <c r="H10" s="10">
        <f t="shared" si="0"/>
        <v>0.65</v>
      </c>
      <c r="I10" s="10">
        <f t="shared" si="1"/>
        <v>0.99</v>
      </c>
      <c r="K10" s="10" t="s">
        <v>70</v>
      </c>
      <c r="L10" s="10">
        <v>65535</v>
      </c>
      <c r="M10" s="16">
        <v>7.6923076923076927E-2</v>
      </c>
      <c r="N10" s="16">
        <v>0.10526315789473684</v>
      </c>
      <c r="O10" s="16">
        <v>6.6666666666666666E-2</v>
      </c>
      <c r="P10" s="16">
        <v>6.6666666666666666E-2</v>
      </c>
      <c r="Q10" s="16">
        <v>0.14285714285714285</v>
      </c>
      <c r="R10" s="16">
        <v>65535</v>
      </c>
      <c r="S10" s="16">
        <v>8.6956521739130432E-2</v>
      </c>
    </row>
    <row r="11" spans="2:23" x14ac:dyDescent="0.25">
      <c r="B11" s="5">
        <v>29.489000000000001</v>
      </c>
      <c r="C11" s="8">
        <v>0</v>
      </c>
      <c r="E11" s="10">
        <v>30</v>
      </c>
      <c r="F11" s="10">
        <v>0.8</v>
      </c>
      <c r="G11" s="10">
        <v>0.95</v>
      </c>
      <c r="H11" s="10">
        <f t="shared" si="0"/>
        <v>0.65</v>
      </c>
      <c r="I11" s="10">
        <f t="shared" si="1"/>
        <v>0.99</v>
      </c>
      <c r="K11" s="10" t="s">
        <v>71</v>
      </c>
      <c r="L11" s="10">
        <v>65535</v>
      </c>
      <c r="M11" s="16">
        <v>0.69230769230769229</v>
      </c>
      <c r="N11" s="16">
        <v>0.57894736842105265</v>
      </c>
      <c r="O11" s="16">
        <v>0.4</v>
      </c>
      <c r="P11" s="16">
        <v>0.33333333333333331</v>
      </c>
      <c r="Q11" s="16">
        <v>0.42857142857142855</v>
      </c>
      <c r="R11" s="16">
        <v>65535</v>
      </c>
      <c r="S11" s="16">
        <v>0.49275362318840582</v>
      </c>
    </row>
    <row r="12" spans="2:23" x14ac:dyDescent="0.25">
      <c r="B12" s="5">
        <v>65.887</v>
      </c>
      <c r="C12" s="8">
        <v>1</v>
      </c>
      <c r="E12" s="10">
        <v>31</v>
      </c>
      <c r="F12" s="10">
        <v>0.8</v>
      </c>
      <c r="G12" s="10">
        <v>0.95</v>
      </c>
      <c r="H12" s="10">
        <f t="shared" si="0"/>
        <v>0.65</v>
      </c>
      <c r="I12" s="10">
        <f t="shared" si="1"/>
        <v>0.99</v>
      </c>
    </row>
    <row r="13" spans="2:23" x14ac:dyDescent="0.25">
      <c r="B13" s="5">
        <v>48.591999999999999</v>
      </c>
      <c r="C13" s="8">
        <v>1</v>
      </c>
      <c r="E13" s="10">
        <v>32</v>
      </c>
      <c r="F13" s="10">
        <v>0.8</v>
      </c>
      <c r="G13" s="10">
        <v>0.95</v>
      </c>
      <c r="H13" s="10">
        <f t="shared" si="0"/>
        <v>0.65</v>
      </c>
      <c r="I13" s="10">
        <f t="shared" si="1"/>
        <v>0.99</v>
      </c>
    </row>
    <row r="14" spans="2:23" x14ac:dyDescent="0.25">
      <c r="B14" s="5">
        <v>39.698999999999998</v>
      </c>
      <c r="C14" s="8">
        <v>1</v>
      </c>
      <c r="E14" s="10">
        <v>33</v>
      </c>
      <c r="F14" s="10">
        <v>0.8</v>
      </c>
      <c r="G14" s="10">
        <v>0.95</v>
      </c>
      <c r="H14" s="10">
        <f t="shared" si="0"/>
        <v>0.65</v>
      </c>
      <c r="I14" s="10">
        <f t="shared" si="1"/>
        <v>0.99</v>
      </c>
    </row>
    <row r="15" spans="2:23" x14ac:dyDescent="0.25">
      <c r="B15" s="5">
        <v>57.787999999999997</v>
      </c>
      <c r="C15" s="8">
        <v>0.93269999999999997</v>
      </c>
      <c r="E15" s="10">
        <v>34</v>
      </c>
      <c r="F15" s="10">
        <v>0.8</v>
      </c>
      <c r="G15" s="10">
        <v>0.95</v>
      </c>
      <c r="H15" s="10">
        <f t="shared" si="0"/>
        <v>0.65</v>
      </c>
      <c r="I15" s="10">
        <f t="shared" si="1"/>
        <v>0.99</v>
      </c>
    </row>
    <row r="16" spans="2:23" x14ac:dyDescent="0.25">
      <c r="B16" s="5">
        <v>51.088000000000001</v>
      </c>
      <c r="C16" s="8">
        <v>0.77129999999999999</v>
      </c>
      <c r="E16" s="10">
        <v>35</v>
      </c>
      <c r="F16" s="10">
        <v>0.8</v>
      </c>
      <c r="G16" s="10">
        <v>0.95</v>
      </c>
      <c r="H16" s="10">
        <f t="shared" si="0"/>
        <v>0.65</v>
      </c>
      <c r="I16" s="10">
        <f t="shared" si="1"/>
        <v>0.99</v>
      </c>
    </row>
    <row r="17" spans="2:26" x14ac:dyDescent="0.25">
      <c r="B17" s="5">
        <v>30.315999999999999</v>
      </c>
      <c r="C17" s="8">
        <v>1</v>
      </c>
      <c r="E17" s="10">
        <v>36</v>
      </c>
      <c r="F17" s="10">
        <v>0.8</v>
      </c>
      <c r="G17" s="10">
        <v>0.95</v>
      </c>
      <c r="H17" s="10">
        <f t="shared" si="0"/>
        <v>0.65</v>
      </c>
      <c r="I17" s="10">
        <f t="shared" si="1"/>
        <v>0.99</v>
      </c>
    </row>
    <row r="18" spans="2:26" x14ac:dyDescent="0.25">
      <c r="B18" s="5">
        <v>33.295000000000002</v>
      </c>
      <c r="C18" s="8">
        <v>0.93210000000000004</v>
      </c>
      <c r="E18" s="10">
        <v>37</v>
      </c>
      <c r="F18" s="10">
        <v>0.8</v>
      </c>
      <c r="G18" s="10">
        <v>0.95</v>
      </c>
      <c r="H18" s="10">
        <f t="shared" si="0"/>
        <v>0.65</v>
      </c>
      <c r="I18" s="10">
        <f t="shared" si="1"/>
        <v>0.99</v>
      </c>
    </row>
    <row r="19" spans="2:26" x14ac:dyDescent="0.25">
      <c r="B19" s="5">
        <v>49.844999999999999</v>
      </c>
      <c r="C19" s="8">
        <v>0.62370000000000003</v>
      </c>
      <c r="E19" s="10">
        <v>38</v>
      </c>
      <c r="F19" s="10">
        <v>0.8</v>
      </c>
      <c r="G19" s="10">
        <v>0.95</v>
      </c>
      <c r="H19" s="10">
        <f t="shared" si="0"/>
        <v>0.65</v>
      </c>
      <c r="I19" s="10">
        <f t="shared" si="1"/>
        <v>0.99</v>
      </c>
    </row>
    <row r="20" spans="2:26" x14ac:dyDescent="0.25">
      <c r="B20" s="5">
        <v>67.497</v>
      </c>
      <c r="C20" s="8">
        <v>0.67500000000000004</v>
      </c>
      <c r="E20" s="10">
        <v>39</v>
      </c>
      <c r="F20" s="10">
        <v>0.8</v>
      </c>
      <c r="G20" s="10">
        <v>0.95</v>
      </c>
      <c r="H20" s="10">
        <f t="shared" si="0"/>
        <v>0.65</v>
      </c>
      <c r="I20" s="10">
        <f t="shared" si="1"/>
        <v>0.99</v>
      </c>
    </row>
    <row r="21" spans="2:26" x14ac:dyDescent="0.25">
      <c r="B21" s="5">
        <v>43.874000000000002</v>
      </c>
      <c r="C21" s="8">
        <v>1</v>
      </c>
      <c r="E21" s="10">
        <v>40</v>
      </c>
      <c r="F21" s="10">
        <v>0.8</v>
      </c>
      <c r="G21" s="10">
        <v>0.95</v>
      </c>
      <c r="H21" s="10">
        <f t="shared" si="0"/>
        <v>0.65</v>
      </c>
      <c r="I21" s="10">
        <f t="shared" si="1"/>
        <v>0.99</v>
      </c>
    </row>
    <row r="22" spans="2:26" x14ac:dyDescent="0.25">
      <c r="B22" s="5">
        <v>36.722999999999999</v>
      </c>
      <c r="C22" s="8">
        <v>0</v>
      </c>
      <c r="E22" s="10">
        <v>41</v>
      </c>
      <c r="F22" s="10">
        <v>0.8</v>
      </c>
      <c r="G22" s="10">
        <v>0.95</v>
      </c>
      <c r="H22" s="10">
        <f t="shared" si="0"/>
        <v>0.65</v>
      </c>
      <c r="I22" s="10">
        <f t="shared" si="1"/>
        <v>0.99</v>
      </c>
    </row>
    <row r="23" spans="2:26" x14ac:dyDescent="0.25">
      <c r="B23" s="5">
        <v>70.013000000000005</v>
      </c>
      <c r="C23" s="8">
        <v>0.36649999999999999</v>
      </c>
      <c r="E23" s="10">
        <v>42</v>
      </c>
      <c r="F23" s="10">
        <v>0.8</v>
      </c>
      <c r="G23" s="10">
        <v>0.95</v>
      </c>
      <c r="H23" s="10">
        <f t="shared" si="0"/>
        <v>0.65</v>
      </c>
      <c r="I23" s="10">
        <f t="shared" si="1"/>
        <v>0.99</v>
      </c>
      <c r="K23" s="51" t="s">
        <v>12</v>
      </c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/>
    </row>
    <row r="24" spans="2:26" x14ac:dyDescent="0.25">
      <c r="B24" s="5">
        <v>46.408999999999999</v>
      </c>
      <c r="C24" s="8">
        <v>1</v>
      </c>
      <c r="E24" s="10">
        <v>43</v>
      </c>
      <c r="F24" s="10">
        <v>0.8</v>
      </c>
      <c r="G24" s="10">
        <v>0.95</v>
      </c>
      <c r="H24" s="10">
        <f t="shared" si="0"/>
        <v>0.65</v>
      </c>
      <c r="I24" s="10">
        <f t="shared" si="1"/>
        <v>0.99</v>
      </c>
      <c r="K24" s="54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6"/>
    </row>
    <row r="25" spans="2:26" x14ac:dyDescent="0.25">
      <c r="B25" s="5">
        <v>43.491</v>
      </c>
      <c r="C25" s="8">
        <v>1</v>
      </c>
      <c r="E25" s="10">
        <v>44</v>
      </c>
      <c r="F25" s="10">
        <v>0.8</v>
      </c>
      <c r="G25" s="10">
        <v>0.95</v>
      </c>
      <c r="H25" s="10">
        <f t="shared" si="0"/>
        <v>0.65</v>
      </c>
      <c r="I25" s="10">
        <f t="shared" si="1"/>
        <v>0.99</v>
      </c>
      <c r="K25" s="12"/>
      <c r="Z25" s="13"/>
    </row>
    <row r="26" spans="2:26" x14ac:dyDescent="0.25">
      <c r="B26" s="5">
        <v>34.883000000000003</v>
      </c>
      <c r="C26" s="8">
        <v>1</v>
      </c>
      <c r="E26" s="10">
        <v>45</v>
      </c>
      <c r="F26" s="10">
        <v>0.8</v>
      </c>
      <c r="G26" s="10">
        <v>0.95</v>
      </c>
      <c r="H26" s="10">
        <f t="shared" si="0"/>
        <v>0.65</v>
      </c>
      <c r="I26" s="10">
        <f t="shared" si="1"/>
        <v>0.99</v>
      </c>
      <c r="K26" s="12"/>
      <c r="Z26" s="13"/>
    </row>
    <row r="27" spans="2:26" x14ac:dyDescent="0.25">
      <c r="B27" s="5">
        <v>34.133000000000003</v>
      </c>
      <c r="C27" s="8">
        <v>1</v>
      </c>
      <c r="E27" s="10">
        <v>46</v>
      </c>
      <c r="F27" s="10">
        <v>0.8</v>
      </c>
      <c r="G27" s="10">
        <v>0.95</v>
      </c>
      <c r="H27" s="10">
        <f t="shared" si="0"/>
        <v>0.65</v>
      </c>
      <c r="I27" s="10">
        <f t="shared" si="1"/>
        <v>0.99</v>
      </c>
      <c r="K27" s="12"/>
      <c r="Z27" s="13"/>
    </row>
    <row r="28" spans="2:26" x14ac:dyDescent="0.25">
      <c r="B28" s="5">
        <v>60.173000000000002</v>
      </c>
      <c r="C28" s="8">
        <v>1</v>
      </c>
      <c r="E28" s="10">
        <v>47</v>
      </c>
      <c r="F28" s="10">
        <v>0.78859999999999997</v>
      </c>
      <c r="G28" s="10">
        <v>0.95</v>
      </c>
      <c r="H28" s="10">
        <f t="shared" si="0"/>
        <v>0.63859999999999995</v>
      </c>
      <c r="I28" s="10">
        <f t="shared" si="1"/>
        <v>0.99</v>
      </c>
      <c r="K28" s="12"/>
      <c r="Z28" s="13"/>
    </row>
    <row r="29" spans="2:26" x14ac:dyDescent="0.25">
      <c r="B29" s="5">
        <v>57.845999999999997</v>
      </c>
      <c r="C29" s="8">
        <v>0.749</v>
      </c>
      <c r="E29" s="10">
        <v>48</v>
      </c>
      <c r="F29" s="10">
        <v>0.76859999999999995</v>
      </c>
      <c r="G29" s="10">
        <v>0.95</v>
      </c>
      <c r="H29" s="10">
        <f t="shared" si="0"/>
        <v>0.61859999999999993</v>
      </c>
      <c r="I29" s="10">
        <f t="shared" si="1"/>
        <v>0.99</v>
      </c>
      <c r="K29" s="12"/>
      <c r="Z29" s="13"/>
    </row>
    <row r="30" spans="2:26" x14ac:dyDescent="0.25">
      <c r="B30" s="5">
        <v>38.1</v>
      </c>
      <c r="C30" s="8">
        <v>1</v>
      </c>
      <c r="E30" s="10">
        <v>49</v>
      </c>
      <c r="F30" s="10">
        <v>0.74690000000000001</v>
      </c>
      <c r="G30" s="10">
        <v>0.94689999999999996</v>
      </c>
      <c r="H30" s="10">
        <f t="shared" si="0"/>
        <v>0.59689999999999999</v>
      </c>
      <c r="I30" s="10">
        <f t="shared" si="1"/>
        <v>0.99</v>
      </c>
      <c r="K30" s="12"/>
      <c r="Z30" s="13"/>
    </row>
    <row r="31" spans="2:26" x14ac:dyDescent="0.25">
      <c r="B31" s="5">
        <v>34.838999999999999</v>
      </c>
      <c r="C31" s="8">
        <v>1</v>
      </c>
      <c r="E31" s="10">
        <v>50</v>
      </c>
      <c r="F31" s="10">
        <v>0.72519999999999996</v>
      </c>
      <c r="G31" s="10">
        <v>0.92520000000000002</v>
      </c>
      <c r="H31" s="10">
        <f t="shared" si="0"/>
        <v>0.57519999999999993</v>
      </c>
      <c r="I31" s="10">
        <f t="shared" si="1"/>
        <v>0.99</v>
      </c>
      <c r="K31" s="12"/>
      <c r="Z31" s="13"/>
    </row>
    <row r="32" spans="2:26" x14ac:dyDescent="0.25">
      <c r="B32" s="5">
        <v>36.234999999999999</v>
      </c>
      <c r="C32" s="8">
        <v>0.9677</v>
      </c>
      <c r="E32" s="10">
        <v>51</v>
      </c>
      <c r="F32" s="10">
        <v>0.7036</v>
      </c>
      <c r="G32" s="10">
        <v>0.90359999999999996</v>
      </c>
      <c r="H32" s="10">
        <f t="shared" si="0"/>
        <v>0.55359999999999998</v>
      </c>
      <c r="I32" s="10">
        <f t="shared" si="1"/>
        <v>0.99</v>
      </c>
      <c r="K32" s="12"/>
      <c r="Z32" s="13"/>
    </row>
    <row r="33" spans="2:26" x14ac:dyDescent="0.25">
      <c r="B33" s="5">
        <v>48.89</v>
      </c>
      <c r="C33" s="8">
        <v>0.80649999999999999</v>
      </c>
      <c r="E33" s="10">
        <v>52</v>
      </c>
      <c r="F33" s="10">
        <v>0.67600000000000005</v>
      </c>
      <c r="G33" s="10">
        <v>0.876</v>
      </c>
      <c r="H33" s="10">
        <f t="shared" si="0"/>
        <v>0.52600000000000002</v>
      </c>
      <c r="I33" s="10">
        <f t="shared" si="1"/>
        <v>0.99</v>
      </c>
      <c r="K33" s="12"/>
      <c r="Z33" s="13"/>
    </row>
    <row r="34" spans="2:26" x14ac:dyDescent="0.25">
      <c r="B34" s="5">
        <v>44.11</v>
      </c>
      <c r="C34" s="8">
        <v>0.97019999999999995</v>
      </c>
      <c r="E34" s="10">
        <v>53</v>
      </c>
      <c r="F34" s="10">
        <v>0.6462</v>
      </c>
      <c r="G34" s="10">
        <v>0.84619999999999995</v>
      </c>
      <c r="H34" s="10">
        <f t="shared" si="0"/>
        <v>0.49619999999999997</v>
      </c>
      <c r="I34" s="10">
        <f t="shared" si="1"/>
        <v>0.99</v>
      </c>
      <c r="K34" s="12"/>
      <c r="Z34" s="13"/>
    </row>
    <row r="35" spans="2:26" x14ac:dyDescent="0.25">
      <c r="B35" s="5">
        <v>61.741999999999997</v>
      </c>
      <c r="C35" s="8">
        <v>0.79379999999999995</v>
      </c>
      <c r="E35" s="10">
        <v>54</v>
      </c>
      <c r="F35" s="10">
        <v>0.61670000000000003</v>
      </c>
      <c r="G35" s="10">
        <v>0.81669999999999998</v>
      </c>
      <c r="H35" s="10">
        <f t="shared" si="0"/>
        <v>0.4667</v>
      </c>
      <c r="I35" s="10">
        <f t="shared" si="1"/>
        <v>0.9667</v>
      </c>
      <c r="K35" s="12"/>
      <c r="Z35" s="13"/>
    </row>
    <row r="36" spans="2:26" x14ac:dyDescent="0.25">
      <c r="B36" s="5">
        <v>42.344000000000001</v>
      </c>
      <c r="C36" s="8">
        <v>0.8407</v>
      </c>
      <c r="E36" s="10">
        <v>55</v>
      </c>
      <c r="F36" s="10">
        <v>0.58760000000000001</v>
      </c>
      <c r="G36" s="10">
        <v>0.78759999999999997</v>
      </c>
      <c r="H36" s="10">
        <f t="shared" si="0"/>
        <v>0.43759999999999999</v>
      </c>
      <c r="I36" s="10">
        <f t="shared" si="1"/>
        <v>0.93759999999999999</v>
      </c>
      <c r="K36" s="12"/>
      <c r="Z36" s="13"/>
    </row>
    <row r="37" spans="2:26" x14ac:dyDescent="0.25">
      <c r="B37" s="5">
        <v>41.100999999999999</v>
      </c>
      <c r="C37" s="8">
        <v>0.95030000000000003</v>
      </c>
      <c r="E37" s="10">
        <v>56</v>
      </c>
      <c r="F37" s="10">
        <v>0.55840000000000001</v>
      </c>
      <c r="G37" s="10">
        <v>0.75839999999999996</v>
      </c>
      <c r="H37" s="10">
        <f t="shared" si="0"/>
        <v>0.40839999999999999</v>
      </c>
      <c r="I37" s="10">
        <f t="shared" si="1"/>
        <v>0.90839999999999999</v>
      </c>
      <c r="K37" s="12"/>
      <c r="Z37" s="13"/>
    </row>
    <row r="38" spans="2:26" x14ac:dyDescent="0.25">
      <c r="B38" s="5">
        <v>60.176000000000002</v>
      </c>
      <c r="C38" s="8">
        <v>1</v>
      </c>
      <c r="E38" s="10">
        <v>57</v>
      </c>
      <c r="F38" s="10">
        <v>0.5423</v>
      </c>
      <c r="G38" s="10">
        <v>0.74229999999999996</v>
      </c>
      <c r="H38" s="10">
        <f t="shared" si="0"/>
        <v>0.39229999999999998</v>
      </c>
      <c r="I38" s="10">
        <f t="shared" si="1"/>
        <v>0.89229999999999998</v>
      </c>
      <c r="K38" s="12"/>
      <c r="Z38" s="13"/>
    </row>
    <row r="39" spans="2:26" x14ac:dyDescent="0.25">
      <c r="B39" s="5">
        <v>51.238999999999997</v>
      </c>
      <c r="C39" s="8">
        <v>1</v>
      </c>
      <c r="E39" s="10">
        <v>58</v>
      </c>
      <c r="F39" s="10">
        <v>0.53059999999999996</v>
      </c>
      <c r="G39" s="10">
        <v>0.73060000000000003</v>
      </c>
      <c r="H39" s="10">
        <f t="shared" si="0"/>
        <v>0.38059999999999994</v>
      </c>
      <c r="I39" s="10">
        <f t="shared" si="1"/>
        <v>0.88059999999999994</v>
      </c>
      <c r="K39" s="12"/>
      <c r="Z39" s="13"/>
    </row>
    <row r="40" spans="2:26" x14ac:dyDescent="0.25">
      <c r="B40" s="5">
        <v>42.485999999999997</v>
      </c>
      <c r="C40" s="8">
        <v>1</v>
      </c>
      <c r="E40" s="10">
        <v>59</v>
      </c>
      <c r="F40" s="10">
        <v>0.51890000000000003</v>
      </c>
      <c r="G40" s="10">
        <v>0.71889999999999998</v>
      </c>
      <c r="H40" s="10">
        <f t="shared" si="0"/>
        <v>0.36890000000000001</v>
      </c>
      <c r="I40" s="10">
        <f t="shared" si="1"/>
        <v>0.86890000000000001</v>
      </c>
      <c r="K40" s="12"/>
      <c r="Z40" s="13"/>
    </row>
    <row r="41" spans="2:26" x14ac:dyDescent="0.25">
      <c r="B41" s="5">
        <v>68.287999999999997</v>
      </c>
      <c r="C41" s="8">
        <v>1</v>
      </c>
      <c r="E41" s="10">
        <v>60</v>
      </c>
      <c r="F41" s="10">
        <v>0.50729999999999997</v>
      </c>
      <c r="G41" s="10">
        <v>0.70730000000000004</v>
      </c>
      <c r="H41" s="10">
        <f t="shared" si="0"/>
        <v>0.35729999999999995</v>
      </c>
      <c r="I41" s="10">
        <f t="shared" si="1"/>
        <v>0.85729999999999995</v>
      </c>
      <c r="K41" s="12"/>
      <c r="Z41" s="13"/>
    </row>
    <row r="42" spans="2:26" x14ac:dyDescent="0.25">
      <c r="B42" s="5">
        <v>63.127000000000002</v>
      </c>
      <c r="C42" s="8">
        <v>1</v>
      </c>
      <c r="E42" s="10">
        <v>61</v>
      </c>
      <c r="F42" s="10">
        <v>0.49559999999999998</v>
      </c>
      <c r="G42" s="10">
        <v>0.6956</v>
      </c>
      <c r="H42" s="10">
        <f t="shared" si="0"/>
        <v>0.34560000000000002</v>
      </c>
      <c r="I42" s="10">
        <f t="shared" si="1"/>
        <v>0.84559999999999991</v>
      </c>
      <c r="K42" s="12"/>
      <c r="Z42" s="13"/>
    </row>
    <row r="43" spans="2:26" x14ac:dyDescent="0.25">
      <c r="B43" s="5">
        <v>53.231999999999999</v>
      </c>
      <c r="C43" s="8">
        <v>1</v>
      </c>
      <c r="E43" s="10">
        <v>62</v>
      </c>
      <c r="F43" s="10">
        <v>0.48409999999999997</v>
      </c>
      <c r="G43" s="10">
        <v>0.68410000000000004</v>
      </c>
      <c r="H43" s="10">
        <f t="shared" si="0"/>
        <v>0.33409999999999995</v>
      </c>
      <c r="I43" s="10">
        <f t="shared" si="1"/>
        <v>0.83409999999999995</v>
      </c>
      <c r="K43" s="12"/>
      <c r="Z43" s="13"/>
    </row>
    <row r="44" spans="2:26" x14ac:dyDescent="0.25">
      <c r="B44" s="5">
        <v>61.747</v>
      </c>
      <c r="C44" s="8">
        <v>0.92420000000000002</v>
      </c>
      <c r="E44" s="10">
        <v>63</v>
      </c>
      <c r="F44" s="10">
        <v>0.47239999999999999</v>
      </c>
      <c r="G44" s="10">
        <v>0.6724</v>
      </c>
      <c r="H44" s="10">
        <f t="shared" si="0"/>
        <v>0.32240000000000002</v>
      </c>
      <c r="I44" s="10">
        <f t="shared" si="1"/>
        <v>0.82240000000000002</v>
      </c>
      <c r="K44" s="14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15"/>
    </row>
    <row r="45" spans="2:26" x14ac:dyDescent="0.25">
      <c r="B45" s="5">
        <v>34.587000000000003</v>
      </c>
      <c r="C45" s="8">
        <v>1</v>
      </c>
      <c r="E45" s="10">
        <v>64</v>
      </c>
      <c r="F45" s="10">
        <v>0.4607</v>
      </c>
      <c r="G45" s="10">
        <v>0.66069999999999995</v>
      </c>
      <c r="H45" s="10">
        <f t="shared" si="0"/>
        <v>0.31069999999999998</v>
      </c>
      <c r="I45" s="10">
        <f t="shared" si="1"/>
        <v>0.81069999999999998</v>
      </c>
    </row>
    <row r="46" spans="2:26" x14ac:dyDescent="0.25">
      <c r="B46" s="5">
        <v>71.385000000000005</v>
      </c>
      <c r="C46" s="8">
        <v>0.68520000000000003</v>
      </c>
      <c r="E46" s="10">
        <v>65</v>
      </c>
      <c r="F46" s="10">
        <v>0.44929999999999998</v>
      </c>
      <c r="G46" s="10">
        <v>0.64929999999999999</v>
      </c>
      <c r="H46" s="10">
        <f t="shared" si="0"/>
        <v>0.29930000000000001</v>
      </c>
      <c r="I46" s="10">
        <f t="shared" si="1"/>
        <v>0.7992999999999999</v>
      </c>
    </row>
    <row r="47" spans="2:26" x14ac:dyDescent="0.25">
      <c r="B47" s="5">
        <v>62.606999999999999</v>
      </c>
      <c r="C47" s="8">
        <v>0.55369999999999997</v>
      </c>
      <c r="E47" s="10">
        <v>66</v>
      </c>
      <c r="F47" s="10">
        <v>0.43769999999999998</v>
      </c>
      <c r="G47" s="10">
        <v>0.63770000000000004</v>
      </c>
      <c r="H47" s="10">
        <f t="shared" si="0"/>
        <v>0.28769999999999996</v>
      </c>
      <c r="I47" s="10">
        <f t="shared" si="1"/>
        <v>0.78769999999999996</v>
      </c>
    </row>
    <row r="48" spans="2:26" x14ac:dyDescent="0.25">
      <c r="B48" s="5">
        <v>34.518999999999998</v>
      </c>
      <c r="C48" s="8">
        <v>1</v>
      </c>
      <c r="E48" s="10">
        <v>67</v>
      </c>
      <c r="F48" s="10">
        <v>0.42109999999999997</v>
      </c>
      <c r="G48" s="10">
        <v>0.62109999999999999</v>
      </c>
      <c r="H48" s="10">
        <f t="shared" si="0"/>
        <v>0.27110000000000001</v>
      </c>
      <c r="I48" s="10">
        <f t="shared" si="1"/>
        <v>0.7710999999999999</v>
      </c>
    </row>
    <row r="49" spans="2:9" x14ac:dyDescent="0.25">
      <c r="B49" s="5">
        <v>30.033999999999999</v>
      </c>
      <c r="C49" s="8">
        <v>1</v>
      </c>
      <c r="E49" s="10">
        <v>68</v>
      </c>
      <c r="F49" s="10">
        <v>0.40300000000000002</v>
      </c>
      <c r="G49" s="10">
        <v>0.60299999999999998</v>
      </c>
      <c r="H49" s="10">
        <f t="shared" si="0"/>
        <v>0.253</v>
      </c>
      <c r="I49" s="10">
        <f t="shared" si="1"/>
        <v>0.753</v>
      </c>
    </row>
    <row r="50" spans="2:9" x14ac:dyDescent="0.25">
      <c r="B50" s="5">
        <v>39.759</v>
      </c>
      <c r="C50" s="8">
        <v>0.94040000000000001</v>
      </c>
      <c r="E50" s="10">
        <v>69</v>
      </c>
      <c r="F50" s="10">
        <v>0.38500000000000001</v>
      </c>
      <c r="G50" s="10">
        <v>0.58499999999999996</v>
      </c>
      <c r="H50" s="10">
        <f t="shared" si="0"/>
        <v>0.23500000000000001</v>
      </c>
      <c r="I50" s="10">
        <f t="shared" si="1"/>
        <v>0.73499999999999999</v>
      </c>
    </row>
    <row r="51" spans="2:9" x14ac:dyDescent="0.25">
      <c r="B51" s="5">
        <v>63.104999999999997</v>
      </c>
      <c r="C51" s="8">
        <v>1</v>
      </c>
      <c r="E51" s="10">
        <v>70</v>
      </c>
      <c r="F51" s="10">
        <v>0.36709999999999998</v>
      </c>
      <c r="G51" s="10">
        <v>0.56710000000000005</v>
      </c>
      <c r="H51" s="10">
        <f t="shared" si="0"/>
        <v>0.21709999999999999</v>
      </c>
      <c r="I51" s="10">
        <f t="shared" si="1"/>
        <v>0.71709999999999996</v>
      </c>
    </row>
    <row r="52" spans="2:9" x14ac:dyDescent="0.25">
      <c r="B52" s="5">
        <v>43.066000000000003</v>
      </c>
      <c r="C52" s="8">
        <v>1</v>
      </c>
      <c r="E52" s="10">
        <v>71</v>
      </c>
      <c r="F52" s="10">
        <v>0.34910000000000002</v>
      </c>
      <c r="G52" s="10">
        <v>0.54910000000000003</v>
      </c>
      <c r="H52" s="10">
        <f t="shared" si="0"/>
        <v>0.19910000000000003</v>
      </c>
      <c r="I52" s="10">
        <f t="shared" si="1"/>
        <v>0.69910000000000005</v>
      </c>
    </row>
    <row r="53" spans="2:9" x14ac:dyDescent="0.25">
      <c r="B53" s="5">
        <v>47.003999999999998</v>
      </c>
      <c r="C53" s="8">
        <v>0.8236</v>
      </c>
      <c r="E53" s="10">
        <v>72</v>
      </c>
      <c r="F53" s="10">
        <v>0.33110000000000001</v>
      </c>
      <c r="G53" s="10">
        <v>0.53110000000000002</v>
      </c>
      <c r="H53" s="10">
        <f t="shared" si="0"/>
        <v>0.18110000000000001</v>
      </c>
      <c r="I53" s="10">
        <f t="shared" si="1"/>
        <v>0.68110000000000004</v>
      </c>
    </row>
    <row r="54" spans="2:9" x14ac:dyDescent="0.25">
      <c r="B54" s="5">
        <v>61.438000000000002</v>
      </c>
      <c r="C54" s="8">
        <v>0.90510000000000002</v>
      </c>
      <c r="E54" s="10">
        <v>73</v>
      </c>
      <c r="F54" s="10">
        <v>0.31340000000000001</v>
      </c>
      <c r="G54" s="10">
        <v>0.51339999999999997</v>
      </c>
      <c r="H54" s="10">
        <f t="shared" si="0"/>
        <v>0.16340000000000002</v>
      </c>
      <c r="I54" s="10">
        <f t="shared" si="1"/>
        <v>0.66339999999999999</v>
      </c>
    </row>
    <row r="55" spans="2:9" x14ac:dyDescent="0.25">
      <c r="B55" s="5">
        <v>42.5</v>
      </c>
      <c r="C55" s="8">
        <v>0.76870000000000005</v>
      </c>
      <c r="E55" s="10">
        <v>74</v>
      </c>
      <c r="F55" s="10">
        <v>0.29570000000000002</v>
      </c>
      <c r="G55" s="10">
        <v>0.49569999999999997</v>
      </c>
      <c r="H55" s="10">
        <f t="shared" si="0"/>
        <v>0.14570000000000002</v>
      </c>
      <c r="I55" s="10">
        <f t="shared" si="1"/>
        <v>0.64569999999999994</v>
      </c>
    </row>
    <row r="56" spans="2:9" x14ac:dyDescent="0.25">
      <c r="B56" s="5">
        <v>31.611000000000001</v>
      </c>
      <c r="C56" s="8">
        <v>1</v>
      </c>
      <c r="E56" s="10">
        <v>75</v>
      </c>
      <c r="F56" s="10">
        <v>0.27800000000000002</v>
      </c>
      <c r="G56" s="10">
        <v>0.47799999999999998</v>
      </c>
      <c r="H56" s="10">
        <f t="shared" si="0"/>
        <v>0.12800000000000003</v>
      </c>
      <c r="I56" s="10">
        <f t="shared" si="1"/>
        <v>0.628</v>
      </c>
    </row>
    <row r="57" spans="2:9" x14ac:dyDescent="0.25">
      <c r="B57" s="5">
        <v>48.463000000000001</v>
      </c>
      <c r="C57" s="8">
        <v>1</v>
      </c>
      <c r="E57" s="10"/>
      <c r="F57" s="10"/>
      <c r="G57" s="10"/>
      <c r="H57" s="10" t="str">
        <f>IF(F57&gt;0,F57-0.15,"")</f>
        <v/>
      </c>
      <c r="I57" s="10" t="str">
        <f>IF(F57&gt;0,MIN(F57+0.35,0.99),"")</f>
        <v/>
      </c>
    </row>
    <row r="58" spans="2:9" x14ac:dyDescent="0.25">
      <c r="B58" s="5">
        <v>32.81</v>
      </c>
      <c r="C58" s="8">
        <v>1</v>
      </c>
      <c r="E58" s="10"/>
      <c r="F58" s="10"/>
      <c r="G58" s="10"/>
      <c r="H58" s="10" t="str">
        <f t="shared" ref="H58:H66" si="2">IF(F58&gt;0,F58-0.15,"")</f>
        <v/>
      </c>
      <c r="I58" s="10" t="str">
        <f t="shared" ref="I58:I66" si="3">IF(F58&gt;0,MIN(F58+0.35,0.99),"")</f>
        <v/>
      </c>
    </row>
    <row r="59" spans="2:9" x14ac:dyDescent="0.25">
      <c r="B59" s="5">
        <v>33.005000000000003</v>
      </c>
      <c r="C59" s="8">
        <v>0.98580000000000001</v>
      </c>
      <c r="E59" s="10"/>
      <c r="F59" s="10"/>
      <c r="G59" s="10"/>
      <c r="H59" s="10" t="str">
        <f t="shared" si="2"/>
        <v/>
      </c>
      <c r="I59" s="10" t="str">
        <f t="shared" si="3"/>
        <v/>
      </c>
    </row>
    <row r="60" spans="2:9" x14ac:dyDescent="0.25">
      <c r="B60" s="5">
        <v>37.292000000000002</v>
      </c>
      <c r="C60" s="8">
        <v>1</v>
      </c>
      <c r="E60" s="10"/>
      <c r="F60" s="10"/>
      <c r="G60" s="10"/>
      <c r="H60" s="10" t="str">
        <f t="shared" si="2"/>
        <v/>
      </c>
      <c r="I60" s="10" t="str">
        <f t="shared" si="3"/>
        <v/>
      </c>
    </row>
    <row r="61" spans="2:9" x14ac:dyDescent="0.25">
      <c r="B61" s="5">
        <v>35.555999999999997</v>
      </c>
      <c r="C61" s="8">
        <v>1</v>
      </c>
      <c r="E61" s="10"/>
      <c r="F61" s="10"/>
      <c r="G61" s="10"/>
      <c r="H61" s="10" t="str">
        <f t="shared" si="2"/>
        <v/>
      </c>
      <c r="I61" s="10" t="str">
        <f t="shared" si="3"/>
        <v/>
      </c>
    </row>
    <row r="62" spans="2:9" x14ac:dyDescent="0.25">
      <c r="B62" s="5">
        <v>43.795000000000002</v>
      </c>
      <c r="C62" s="8">
        <v>1</v>
      </c>
      <c r="E62" s="10"/>
      <c r="F62" s="10"/>
      <c r="G62" s="10"/>
      <c r="H62" s="10" t="str">
        <f t="shared" si="2"/>
        <v/>
      </c>
      <c r="I62" s="10" t="str">
        <f t="shared" si="3"/>
        <v/>
      </c>
    </row>
    <row r="63" spans="2:9" x14ac:dyDescent="0.25">
      <c r="B63" s="5">
        <v>49.484000000000002</v>
      </c>
      <c r="C63" s="8">
        <v>0.77129999999999999</v>
      </c>
      <c r="E63" s="10"/>
      <c r="F63" s="10"/>
      <c r="G63" s="10"/>
      <c r="H63" s="10" t="str">
        <f t="shared" si="2"/>
        <v/>
      </c>
      <c r="I63" s="10" t="str">
        <f t="shared" si="3"/>
        <v/>
      </c>
    </row>
    <row r="64" spans="2:9" x14ac:dyDescent="0.25">
      <c r="B64" s="5">
        <v>33.119999999999997</v>
      </c>
      <c r="C64" s="8">
        <v>0.91</v>
      </c>
      <c r="E64" s="10"/>
      <c r="F64" s="10"/>
      <c r="G64" s="10"/>
      <c r="H64" s="10" t="str">
        <f t="shared" si="2"/>
        <v/>
      </c>
      <c r="I64" s="10" t="str">
        <f t="shared" si="3"/>
        <v/>
      </c>
    </row>
    <row r="65" spans="2:9" x14ac:dyDescent="0.25">
      <c r="B65" s="5">
        <v>60.011000000000003</v>
      </c>
      <c r="C65" s="8">
        <v>1</v>
      </c>
      <c r="E65" s="10"/>
      <c r="F65" s="10"/>
      <c r="G65" s="10"/>
      <c r="H65" s="10" t="str">
        <f t="shared" si="2"/>
        <v/>
      </c>
      <c r="I65" s="10" t="str">
        <f t="shared" si="3"/>
        <v/>
      </c>
    </row>
    <row r="66" spans="2:9" x14ac:dyDescent="0.25">
      <c r="B66" s="5">
        <v>59.186999999999998</v>
      </c>
      <c r="C66" s="8">
        <v>0.96060000000000001</v>
      </c>
      <c r="E66" s="10"/>
      <c r="F66" s="10"/>
      <c r="G66" s="10"/>
      <c r="H66" s="10" t="str">
        <f t="shared" si="2"/>
        <v/>
      </c>
      <c r="I66" s="10" t="str">
        <f t="shared" si="3"/>
        <v/>
      </c>
    </row>
    <row r="67" spans="2:9" x14ac:dyDescent="0.25">
      <c r="B67" s="5">
        <v>67.061000000000007</v>
      </c>
      <c r="C67" s="8">
        <v>0</v>
      </c>
    </row>
    <row r="68" spans="2:9" x14ac:dyDescent="0.25">
      <c r="B68" s="5">
        <v>58.296999999999997</v>
      </c>
      <c r="C68" s="8">
        <v>0.84279999999999999</v>
      </c>
    </row>
    <row r="69" spans="2:9" x14ac:dyDescent="0.25">
      <c r="B69" s="5">
        <v>60.793999999999997</v>
      </c>
      <c r="C69" s="8">
        <v>0</v>
      </c>
    </row>
    <row r="70" spans="2:9" x14ac:dyDescent="0.25">
      <c r="B70" s="5">
        <v>50.33</v>
      </c>
      <c r="C70" s="8">
        <v>0</v>
      </c>
    </row>
    <row r="71" spans="2:9" x14ac:dyDescent="0.25">
      <c r="B71" s="5">
        <v>55.234000000000002</v>
      </c>
      <c r="C71" s="8">
        <v>0.4078</v>
      </c>
    </row>
    <row r="72" spans="2:9" x14ac:dyDescent="0.25">
      <c r="B72" s="5">
        <v>51.113</v>
      </c>
      <c r="C72" s="8">
        <v>1</v>
      </c>
    </row>
    <row r="73" spans="2:9" x14ac:dyDescent="0.25">
      <c r="B73" s="5">
        <v>39.734000000000002</v>
      </c>
      <c r="C73" s="8">
        <v>1</v>
      </c>
    </row>
    <row r="74" spans="2:9" x14ac:dyDescent="0.25">
      <c r="B74" s="5">
        <v>49.517000000000003</v>
      </c>
      <c r="C74" s="8">
        <v>0.86140000000000005</v>
      </c>
    </row>
    <row r="75" spans="2:9" x14ac:dyDescent="0.25">
      <c r="B75" s="5"/>
      <c r="C75" s="8"/>
    </row>
    <row r="76" spans="2:9" x14ac:dyDescent="0.25">
      <c r="B76" s="5"/>
      <c r="C76" s="8"/>
    </row>
    <row r="77" spans="2:9" x14ac:dyDescent="0.25">
      <c r="B77" s="5"/>
      <c r="C77" s="8"/>
    </row>
    <row r="78" spans="2:9" x14ac:dyDescent="0.25">
      <c r="B78" s="5"/>
      <c r="C78" s="8"/>
    </row>
    <row r="79" spans="2:9" x14ac:dyDescent="0.25">
      <c r="B79" s="5"/>
      <c r="C79" s="8"/>
    </row>
    <row r="80" spans="2:9" x14ac:dyDescent="0.25">
      <c r="B80" s="5"/>
      <c r="C80" s="8"/>
    </row>
    <row r="81" spans="2:3" x14ac:dyDescent="0.25">
      <c r="B81" s="5"/>
      <c r="C81" s="8"/>
    </row>
    <row r="82" spans="2:3" x14ac:dyDescent="0.25">
      <c r="B82" s="5"/>
      <c r="C82" s="8"/>
    </row>
    <row r="83" spans="2:3" x14ac:dyDescent="0.25">
      <c r="B83" s="5"/>
      <c r="C83" s="8"/>
    </row>
    <row r="84" spans="2:3" x14ac:dyDescent="0.25">
      <c r="B84" s="5"/>
      <c r="C84" s="8"/>
    </row>
    <row r="85" spans="2:3" x14ac:dyDescent="0.25">
      <c r="B85" s="5"/>
      <c r="C85" s="8"/>
    </row>
    <row r="86" spans="2:3" x14ac:dyDescent="0.25">
      <c r="B86" s="5"/>
      <c r="C86" s="8"/>
    </row>
    <row r="87" spans="2:3" x14ac:dyDescent="0.25">
      <c r="B87" s="5"/>
      <c r="C87" s="8"/>
    </row>
    <row r="88" spans="2:3" x14ac:dyDescent="0.25">
      <c r="B88" s="5"/>
      <c r="C88" s="8"/>
    </row>
    <row r="89" spans="2:3" x14ac:dyDescent="0.25">
      <c r="B89" s="5"/>
      <c r="C89" s="8"/>
    </row>
    <row r="90" spans="2:3" x14ac:dyDescent="0.25">
      <c r="B90" s="5"/>
      <c r="C90" s="8"/>
    </row>
    <row r="91" spans="2:3" x14ac:dyDescent="0.25">
      <c r="B91" s="5"/>
      <c r="C91" s="8"/>
    </row>
    <row r="92" spans="2:3" x14ac:dyDescent="0.25">
      <c r="B92" s="5"/>
      <c r="C92" s="8"/>
    </row>
    <row r="93" spans="2:3" x14ac:dyDescent="0.25">
      <c r="B93" s="5"/>
      <c r="C93" s="8"/>
    </row>
    <row r="94" spans="2:3" x14ac:dyDescent="0.25">
      <c r="B94" s="5"/>
      <c r="C94" s="8"/>
    </row>
    <row r="95" spans="2:3" x14ac:dyDescent="0.25">
      <c r="B95" s="5"/>
      <c r="C95" s="8"/>
    </row>
    <row r="96" spans="2:3" x14ac:dyDescent="0.25">
      <c r="B96" s="5"/>
      <c r="C96" s="8"/>
    </row>
    <row r="97" spans="2:3" x14ac:dyDescent="0.25">
      <c r="B97" s="5"/>
      <c r="C97" s="8"/>
    </row>
    <row r="98" spans="2:3" x14ac:dyDescent="0.25">
      <c r="B98" s="5"/>
      <c r="C98" s="8"/>
    </row>
    <row r="99" spans="2:3" x14ac:dyDescent="0.25">
      <c r="B99" s="5"/>
      <c r="C99" s="8"/>
    </row>
    <row r="100" spans="2:3" x14ac:dyDescent="0.25">
      <c r="B100" s="5"/>
      <c r="C100" s="8"/>
    </row>
    <row r="101" spans="2:3" x14ac:dyDescent="0.25">
      <c r="B101" s="5"/>
      <c r="C101" s="8"/>
    </row>
    <row r="102" spans="2:3" x14ac:dyDescent="0.25">
      <c r="B102" s="5"/>
      <c r="C102" s="8"/>
    </row>
    <row r="103" spans="2:3" x14ac:dyDescent="0.25">
      <c r="B103" s="5"/>
      <c r="C103" s="8"/>
    </row>
  </sheetData>
  <mergeCells count="4">
    <mergeCell ref="B4:C4"/>
    <mergeCell ref="E4:I4"/>
    <mergeCell ref="K4:S4"/>
    <mergeCell ref="K23:Z24"/>
  </mergeCells>
  <pageMargins left="0.7" right="0.7" top="0.75" bottom="0.75" header="0.3" footer="0.3"/>
  <pageSetup orientation="portrait" r:id="rId1"/>
  <headerFooter>
    <oddFooter>&amp;L_x000D_&amp;1#&amp;"Calibri"&amp;10&amp;K000000 Fidelity Internal Information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33</vt:i4>
      </vt:variant>
    </vt:vector>
  </HeadingPairs>
  <TitlesOfParts>
    <vt:vector size="45" baseType="lpstr">
      <vt:lpstr>TOC</vt:lpstr>
      <vt:lpstr>T1</vt:lpstr>
      <vt:lpstr>T2</vt:lpstr>
      <vt:lpstr>T3</vt:lpstr>
      <vt:lpstr>T4</vt:lpstr>
      <vt:lpstr>T5</vt:lpstr>
      <vt:lpstr>01</vt:lpstr>
      <vt:lpstr>Sheet2</vt:lpstr>
      <vt:lpstr>02</vt:lpstr>
      <vt:lpstr>04</vt:lpstr>
      <vt:lpstr>19</vt:lpstr>
      <vt:lpstr>20</vt:lpstr>
      <vt:lpstr>'19'!BandCorner</vt:lpstr>
      <vt:lpstr>'20'!BandCorner</vt:lpstr>
      <vt:lpstr>'T4'!BandCorner</vt:lpstr>
      <vt:lpstr>'T5'!BandCorner</vt:lpstr>
      <vt:lpstr>'01'!BenchmarkCorner</vt:lpstr>
      <vt:lpstr>'02'!BenchmarkCorner</vt:lpstr>
      <vt:lpstr>'04'!BenchmarkCorner</vt:lpstr>
      <vt:lpstr>'T1'!BenchmarkCorner</vt:lpstr>
      <vt:lpstr>'T2'!BenchmarkCorner</vt:lpstr>
      <vt:lpstr>'T3'!BenchmarkCorner</vt:lpstr>
      <vt:lpstr>'01'!OverallReturn</vt:lpstr>
      <vt:lpstr>'02'!OverallReturn</vt:lpstr>
      <vt:lpstr>'T1'!OverallReturn</vt:lpstr>
      <vt:lpstr>'01'!ScatterCorner</vt:lpstr>
      <vt:lpstr>'02'!ScatterCorner</vt:lpstr>
      <vt:lpstr>'04'!ScatterCorner</vt:lpstr>
      <vt:lpstr>'19'!ScatterCorner</vt:lpstr>
      <vt:lpstr>'20'!ScatterCorner</vt:lpstr>
      <vt:lpstr>'T1'!ScatterCorner</vt:lpstr>
      <vt:lpstr>'T2'!ScatterCorner</vt:lpstr>
      <vt:lpstr>'T3'!ScatterCorner</vt:lpstr>
      <vt:lpstr>'T4'!ScatterCorner</vt:lpstr>
      <vt:lpstr>'T5'!ScatterCorner</vt:lpstr>
      <vt:lpstr>'01'!SummaryCorner</vt:lpstr>
      <vt:lpstr>'02'!SummaryCorner</vt:lpstr>
      <vt:lpstr>'04'!SummaryCorner</vt:lpstr>
      <vt:lpstr>'19'!SummaryCorner</vt:lpstr>
      <vt:lpstr>'20'!SummaryCorner</vt:lpstr>
      <vt:lpstr>'T1'!SummaryCorner</vt:lpstr>
      <vt:lpstr>'T2'!SummaryCorner</vt:lpstr>
      <vt:lpstr>'T3'!SummaryCorner</vt:lpstr>
      <vt:lpstr>'T4'!SummaryCorner</vt:lpstr>
      <vt:lpstr>'T5'!SummaryCorner</vt:lpstr>
    </vt:vector>
  </TitlesOfParts>
  <Company>[Default]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Legare, Jonathan</dc:creator>
  <cp:lastModifiedBy>Dhanapradap M - I52373</cp:lastModifiedBy>
  <dcterms:created xsi:type="dcterms:W3CDTF">2016-05-24T17:22:07Z</dcterms:created>
  <dcterms:modified xsi:type="dcterms:W3CDTF">2025-12-18T13:26:29Z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b2c423-eb5a-467c-866f-c54b6721c0c4_Enabled">
    <vt:lpwstr>true</vt:lpwstr>
  </property>
  <property fmtid="{D5CDD505-2E9C-101B-9397-08002B2CF9AE}" pid="3" name="MSIP_Label_03b2c423-eb5a-467c-866f-c54b6721c0c4_SetDate">
    <vt:lpwstr>2025-11-10T20:43:19Z</vt:lpwstr>
  </property>
  <property fmtid="{D5CDD505-2E9C-101B-9397-08002B2CF9AE}" pid="4" name="MSIP_Label_03b2c423-eb5a-467c-866f-c54b6721c0c4_Method">
    <vt:lpwstr>Privileged</vt:lpwstr>
  </property>
  <property fmtid="{D5CDD505-2E9C-101B-9397-08002B2CF9AE}" pid="5" name="MSIP_Label_03b2c423-eb5a-467c-866f-c54b6721c0c4_Name">
    <vt:lpwstr>Fidelity Internal</vt:lpwstr>
  </property>
  <property fmtid="{D5CDD505-2E9C-101B-9397-08002B2CF9AE}" pid="6" name="MSIP_Label_03b2c423-eb5a-467c-866f-c54b6721c0c4_SiteId">
    <vt:lpwstr>7521acbc-a68c-41e5-a975-1cf83066dd19</vt:lpwstr>
  </property>
  <property fmtid="{D5CDD505-2E9C-101B-9397-08002B2CF9AE}" pid="7" name="MSIP_Label_03b2c423-eb5a-467c-866f-c54b6721c0c4_ActionId">
    <vt:lpwstr>0e3e58f3-f259-41b3-a5b6-dc270f362d32</vt:lpwstr>
  </property>
  <property fmtid="{D5CDD505-2E9C-101B-9397-08002B2CF9AE}" pid="8" name="MSIP_Label_03b2c423-eb5a-467c-866f-c54b6721c0c4_ContentBits">
    <vt:lpwstr>2</vt:lpwstr>
  </property>
  <property fmtid="{D5CDD505-2E9C-101B-9397-08002B2CF9AE}" pid="9" name="MSIP_Label_03b2c423-eb5a-467c-866f-c54b6721c0c4_Tag">
    <vt:lpwstr>10, 0, 1, 1</vt:lpwstr>
  </property>
</Properties>
</file>